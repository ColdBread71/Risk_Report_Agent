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tengqingwu\Desktop\"/>
    </mc:Choice>
  </mc:AlternateContent>
  <xr:revisionPtr revIDLastSave="0" documentId="13_ncr:1_{10ACCE68-249B-4CAA-BF2F-49EFD0C8C378}" xr6:coauthVersionLast="36" xr6:coauthVersionMax="47" xr10:uidLastSave="{00000000-0000-0000-0000-000000000000}"/>
  <bookViews>
    <workbookView xWindow="-113" yWindow="-113" windowWidth="14513" windowHeight="4613" activeTab="5" xr2:uid="{752BAC88-3D22-6345-9E5D-6A586CA68B77}"/>
  </bookViews>
  <sheets>
    <sheet name="Revision History" sheetId="1" r:id="rId1"/>
    <sheet name="TOE Context" sheetId="2" r:id="rId2"/>
    <sheet name="TARA &amp; Rational " sheetId="4" r:id="rId3"/>
    <sheet name="TOE Design" sheetId="3" r:id="rId4"/>
    <sheet name="TARA &amp; Rational-交换机" sheetId="5" r:id="rId5"/>
    <sheet name="TARA methodology " sheetId="6" r:id="rId6"/>
  </sheets>
  <definedNames>
    <definedName name="_xlnm._FilterDatabase" localSheetId="2">'TARA &amp; Rational '!$A$2:$AT$50</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O22" i="4" l="1"/>
  <c r="AP22" i="4"/>
  <c r="Z22" i="4"/>
  <c r="Y22" i="4"/>
  <c r="AO13" i="4"/>
  <c r="AP13" i="4"/>
  <c r="AQ13" i="4" s="1"/>
  <c r="Z13" i="4"/>
  <c r="Y13" i="4"/>
  <c r="AO18" i="4"/>
  <c r="AP18" i="4"/>
  <c r="Y18" i="4"/>
  <c r="Z18" i="4"/>
  <c r="AT23" i="5"/>
  <c r="AS23" i="5"/>
  <c r="Z23" i="5"/>
  <c r="Y23" i="5"/>
  <c r="AA23" i="5" s="1"/>
  <c r="AT22" i="5"/>
  <c r="AS22" i="5"/>
  <c r="AU22" i="5" s="1"/>
  <c r="Z22" i="5"/>
  <c r="Y22" i="5"/>
  <c r="AA22" i="5" s="1"/>
  <c r="AT21" i="5"/>
  <c r="AS21" i="5"/>
  <c r="AU21" i="5" s="1"/>
  <c r="Z21" i="5"/>
  <c r="Y21" i="5"/>
  <c r="AT20" i="5"/>
  <c r="AS20" i="5"/>
  <c r="AU20" i="5" s="1"/>
  <c r="Z20" i="5"/>
  <c r="Y20" i="5"/>
  <c r="AT19" i="5"/>
  <c r="AS19" i="5"/>
  <c r="AU19" i="5" s="1"/>
  <c r="Z19" i="5"/>
  <c r="Y19" i="5"/>
  <c r="AA19" i="5" s="1"/>
  <c r="Z18" i="5"/>
  <c r="Y18" i="5"/>
  <c r="AA18" i="5" s="1"/>
  <c r="AT17" i="5"/>
  <c r="AS17" i="5"/>
  <c r="Z17" i="5"/>
  <c r="Y17" i="5"/>
  <c r="AA17" i="5" s="1"/>
  <c r="AT16" i="5"/>
  <c r="AS16" i="5"/>
  <c r="AU16" i="5" s="1"/>
  <c r="Z16" i="5"/>
  <c r="Y16" i="5"/>
  <c r="AA16" i="5" s="1"/>
  <c r="AT14" i="5"/>
  <c r="AS14" i="5"/>
  <c r="AU14" i="5" s="1"/>
  <c r="Z14" i="5"/>
  <c r="Y14" i="5"/>
  <c r="AA14" i="5" s="1"/>
  <c r="AT13" i="5"/>
  <c r="AS13" i="5"/>
  <c r="AU13" i="5" s="1"/>
  <c r="Z13" i="5"/>
  <c r="Y13" i="5"/>
  <c r="AA13" i="5" s="1"/>
  <c r="AT12" i="5"/>
  <c r="AS12" i="5"/>
  <c r="AU12" i="5" s="1"/>
  <c r="Z12" i="5"/>
  <c r="Y12" i="5"/>
  <c r="AT11" i="5"/>
  <c r="AS11" i="5"/>
  <c r="AU11" i="5" s="1"/>
  <c r="Z11" i="5"/>
  <c r="Y11" i="5"/>
  <c r="AA11" i="5" s="1"/>
  <c r="AT10" i="5"/>
  <c r="AS10" i="5"/>
  <c r="AU10" i="5" s="1"/>
  <c r="Z10" i="5"/>
  <c r="Y10" i="5"/>
  <c r="AA10" i="5" s="1"/>
  <c r="AT9" i="5"/>
  <c r="AS9" i="5"/>
  <c r="AU9" i="5" s="1"/>
  <c r="Z9" i="5"/>
  <c r="Y9" i="5"/>
  <c r="AA9" i="5" s="1"/>
  <c r="AT8" i="5"/>
  <c r="AS8" i="5"/>
  <c r="AU8" i="5" s="1"/>
  <c r="Z8" i="5"/>
  <c r="Y8" i="5"/>
  <c r="AA8" i="5" s="1"/>
  <c r="AT7" i="5"/>
  <c r="AS7" i="5"/>
  <c r="AU7" i="5" s="1"/>
  <c r="Z7" i="5"/>
  <c r="Y7" i="5"/>
  <c r="AA7" i="5" s="1"/>
  <c r="AT6" i="5"/>
  <c r="AS6" i="5"/>
  <c r="AU6" i="5" s="1"/>
  <c r="Z6" i="5"/>
  <c r="Y6" i="5"/>
  <c r="AA6" i="5" s="1"/>
  <c r="AT5" i="5"/>
  <c r="AS5" i="5"/>
  <c r="AU5" i="5" s="1"/>
  <c r="Z5" i="5"/>
  <c r="Y5" i="5"/>
  <c r="AA5" i="5" s="1"/>
  <c r="AT4" i="5"/>
  <c r="AS4" i="5"/>
  <c r="AU4" i="5" s="1"/>
  <c r="Z4" i="5"/>
  <c r="Y4" i="5"/>
  <c r="AA4" i="5" s="1"/>
  <c r="AT3" i="5"/>
  <c r="AS3" i="5"/>
  <c r="AU3" i="5" s="1"/>
  <c r="Z3" i="5"/>
  <c r="Y3" i="5"/>
  <c r="AA3" i="5" s="1"/>
  <c r="AP51" i="4"/>
  <c r="AO51" i="4"/>
  <c r="Z51" i="4"/>
  <c r="Y51" i="4"/>
  <c r="AP50" i="4"/>
  <c r="AO50" i="4"/>
  <c r="Z50" i="4"/>
  <c r="Y50" i="4"/>
  <c r="AP49" i="4"/>
  <c r="AO49" i="4"/>
  <c r="Z49" i="4"/>
  <c r="Y49" i="4"/>
  <c r="AA49" i="4" s="1"/>
  <c r="AP48" i="4"/>
  <c r="AO48" i="4"/>
  <c r="Z48" i="4"/>
  <c r="Y48" i="4"/>
  <c r="AA48" i="4" s="1"/>
  <c r="AP47" i="4"/>
  <c r="AO47" i="4"/>
  <c r="Z47" i="4"/>
  <c r="Y47" i="4"/>
  <c r="AP46" i="4"/>
  <c r="AO46" i="4"/>
  <c r="Z46" i="4"/>
  <c r="Y46" i="4"/>
  <c r="AP45" i="4"/>
  <c r="AO45" i="4"/>
  <c r="Z45" i="4"/>
  <c r="Y45" i="4"/>
  <c r="AP44" i="4"/>
  <c r="AO44" i="4"/>
  <c r="Z44" i="4"/>
  <c r="Y44" i="4"/>
  <c r="AA44" i="4" s="1"/>
  <c r="AP43" i="4"/>
  <c r="AO43" i="4"/>
  <c r="AP42" i="4"/>
  <c r="AO42" i="4"/>
  <c r="Z42" i="4"/>
  <c r="Y42" i="4"/>
  <c r="AP41" i="4"/>
  <c r="AO41" i="4"/>
  <c r="Z41" i="4"/>
  <c r="Y41" i="4"/>
  <c r="AP40" i="4"/>
  <c r="AO40" i="4"/>
  <c r="Z40" i="4"/>
  <c r="Y40" i="4"/>
  <c r="AP39" i="4"/>
  <c r="AO39" i="4"/>
  <c r="Z39" i="4"/>
  <c r="Y39" i="4"/>
  <c r="AP38" i="4"/>
  <c r="AO38" i="4"/>
  <c r="Z38" i="4"/>
  <c r="Y38" i="4"/>
  <c r="AP37" i="4"/>
  <c r="AO37" i="4"/>
  <c r="AQ37" i="4" s="1"/>
  <c r="Z37" i="4"/>
  <c r="Y37" i="4"/>
  <c r="AP36" i="4"/>
  <c r="AO36" i="4"/>
  <c r="Z36" i="4"/>
  <c r="Y36" i="4"/>
  <c r="AA36" i="4" s="1"/>
  <c r="AP35" i="4"/>
  <c r="AO35" i="4"/>
  <c r="Z35" i="4"/>
  <c r="Y35" i="4"/>
  <c r="AP34" i="4"/>
  <c r="AO34" i="4"/>
  <c r="AP33" i="4"/>
  <c r="AO33" i="4"/>
  <c r="Z33" i="4"/>
  <c r="Y33" i="4"/>
  <c r="AP32" i="4"/>
  <c r="AO32" i="4"/>
  <c r="AP31" i="4"/>
  <c r="AO31" i="4"/>
  <c r="Z31" i="4"/>
  <c r="Y31" i="4"/>
  <c r="AP30" i="4"/>
  <c r="AO30" i="4"/>
  <c r="AQ30" i="4" s="1"/>
  <c r="AP29" i="4"/>
  <c r="AO29" i="4"/>
  <c r="AP28" i="4"/>
  <c r="AO28" i="4"/>
  <c r="Z28" i="4"/>
  <c r="Y28" i="4"/>
  <c r="AP27" i="4"/>
  <c r="AO27" i="4"/>
  <c r="Z27" i="4"/>
  <c r="Y27" i="4"/>
  <c r="AP26" i="4"/>
  <c r="AO26" i="4"/>
  <c r="Z26" i="4"/>
  <c r="Y26" i="4"/>
  <c r="AP25" i="4"/>
  <c r="AO25" i="4"/>
  <c r="AQ25" i="4" s="1"/>
  <c r="Z25" i="4"/>
  <c r="Y25" i="4"/>
  <c r="AP24" i="4"/>
  <c r="AO24" i="4"/>
  <c r="AQ24" i="4" s="1"/>
  <c r="Z24" i="4"/>
  <c r="Y24" i="4"/>
  <c r="AA24" i="4" s="1"/>
  <c r="AP23" i="4"/>
  <c r="AO23" i="4"/>
  <c r="Z23" i="4"/>
  <c r="Y23" i="4"/>
  <c r="AP21" i="4"/>
  <c r="AO21" i="4"/>
  <c r="Z21" i="4"/>
  <c r="Y21" i="4"/>
  <c r="AP20" i="4"/>
  <c r="AO20" i="4"/>
  <c r="AQ20" i="4" s="1"/>
  <c r="AP19" i="4"/>
  <c r="AO19" i="4"/>
  <c r="AP17" i="4"/>
  <c r="AO17" i="4"/>
  <c r="Z17" i="4"/>
  <c r="Y17" i="4"/>
  <c r="AP16" i="4"/>
  <c r="AO16" i="4"/>
  <c r="AQ16" i="4" s="1"/>
  <c r="Z16" i="4"/>
  <c r="Y16" i="4"/>
  <c r="AP15" i="4"/>
  <c r="AO15" i="4"/>
  <c r="Z15" i="4"/>
  <c r="Y15" i="4"/>
  <c r="AP14" i="4"/>
  <c r="AO14" i="4"/>
  <c r="Z14" i="4"/>
  <c r="Y14" i="4"/>
  <c r="AP12" i="4"/>
  <c r="AO12" i="4"/>
  <c r="AQ12" i="4" s="1"/>
  <c r="AP11" i="4"/>
  <c r="AO11" i="4"/>
  <c r="AP10" i="4"/>
  <c r="AO10" i="4"/>
  <c r="Z10" i="4"/>
  <c r="Y10" i="4"/>
  <c r="AP9" i="4"/>
  <c r="AO9" i="4"/>
  <c r="AQ9" i="4" s="1"/>
  <c r="Z9" i="4"/>
  <c r="Y9" i="4"/>
  <c r="AP8" i="4"/>
  <c r="AO8" i="4"/>
  <c r="Z8" i="4"/>
  <c r="Y8" i="4"/>
  <c r="AP7" i="4"/>
  <c r="AO7" i="4"/>
  <c r="Z7" i="4"/>
  <c r="Y7" i="4"/>
  <c r="AP6" i="4"/>
  <c r="AO6" i="4"/>
  <c r="AQ6" i="4" s="1"/>
  <c r="Z6" i="4"/>
  <c r="Y6" i="4"/>
  <c r="AP5" i="4"/>
  <c r="AO5" i="4"/>
  <c r="Z5" i="4"/>
  <c r="Y5" i="4"/>
  <c r="AA5" i="4" s="1"/>
  <c r="Z4" i="4"/>
  <c r="Y4" i="4"/>
  <c r="AA4" i="4" s="1"/>
  <c r="AP3" i="4"/>
  <c r="AO3" i="4"/>
  <c r="Z3" i="4"/>
  <c r="Y3" i="4"/>
  <c r="AQ5" i="4" l="1"/>
  <c r="AQ36" i="4"/>
  <c r="AQ31" i="4"/>
  <c r="AQ42" i="4"/>
  <c r="AA9" i="4"/>
  <c r="AA10" i="4"/>
  <c r="AA41" i="4"/>
  <c r="AQ10" i="4"/>
  <c r="AA33" i="4"/>
  <c r="AQ41" i="4"/>
  <c r="AQ22" i="4"/>
  <c r="AA17" i="4"/>
  <c r="AQ46" i="4"/>
  <c r="AQ38" i="4"/>
  <c r="AQ29" i="4"/>
  <c r="AA13" i="4"/>
  <c r="AQ3" i="4"/>
  <c r="AQ51" i="4"/>
  <c r="AU17" i="5"/>
  <c r="AU23" i="5"/>
  <c r="AA20" i="5"/>
  <c r="AA12" i="5"/>
  <c r="AA21" i="5"/>
  <c r="AA25" i="4"/>
  <c r="AA22" i="4"/>
  <c r="AA7" i="4"/>
  <c r="AA14" i="4"/>
  <c r="AA21" i="4"/>
  <c r="AA27" i="4"/>
  <c r="AQ33" i="4"/>
  <c r="AA39" i="4"/>
  <c r="AQ44" i="4"/>
  <c r="AQ49" i="4"/>
  <c r="AA31" i="4"/>
  <c r="AA37" i="4"/>
  <c r="AA42" i="4"/>
  <c r="AA18" i="4"/>
  <c r="AA6" i="4"/>
  <c r="AQ11" i="4"/>
  <c r="AA26" i="4"/>
  <c r="AQ32" i="4"/>
  <c r="AQ18" i="4"/>
  <c r="AA38" i="4"/>
  <c r="AA47" i="4"/>
  <c r="AQ47" i="4"/>
  <c r="AQ43" i="4"/>
  <c r="AQ7" i="4"/>
  <c r="AQ14" i="4"/>
  <c r="AQ27" i="4"/>
  <c r="AQ34" i="4"/>
  <c r="AQ39" i="4"/>
  <c r="AA50" i="4"/>
  <c r="AA8" i="4"/>
  <c r="AA15" i="4"/>
  <c r="AA23" i="4"/>
  <c r="AA28" i="4"/>
  <c r="AA35" i="4"/>
  <c r="AA40" i="4"/>
  <c r="AQ50" i="4"/>
  <c r="AA3" i="4"/>
  <c r="AQ8" i="4"/>
  <c r="AQ15" i="4"/>
  <c r="AQ23" i="4"/>
  <c r="AQ28" i="4"/>
  <c r="AQ35" i="4"/>
  <c r="AQ40" i="4"/>
  <c r="AA46" i="4"/>
  <c r="AA51" i="4"/>
  <c r="AQ45" i="4"/>
  <c r="AA45" i="4"/>
  <c r="AQ26" i="4"/>
  <c r="AQ48" i="4"/>
  <c r="AQ21" i="4"/>
  <c r="AA16" i="4"/>
  <c r="AQ17" i="4"/>
  <c r="AQ19" i="4"/>
</calcChain>
</file>

<file path=xl/sharedStrings.xml><?xml version="1.0" encoding="utf-8"?>
<sst xmlns="http://schemas.openxmlformats.org/spreadsheetml/2006/main" count="2936" uniqueCount="1736">
  <si>
    <t>SR-产品安全风险与安全需求分析</t>
  </si>
  <si>
    <t>项目名称：</t>
  </si>
  <si>
    <t>项目编码：</t>
  </si>
  <si>
    <t>拟    制：</t>
  </si>
  <si>
    <t>审    核：</t>
  </si>
  <si>
    <t>批    准：</t>
  </si>
  <si>
    <t>日    期：</t>
  </si>
  <si>
    <t>修订履历</t>
  </si>
  <si>
    <t>版本</t>
  </si>
  <si>
    <t>日期</t>
  </si>
  <si>
    <t>修订内容</t>
  </si>
  <si>
    <t>修订人</t>
  </si>
  <si>
    <t>备注</t>
  </si>
  <si>
    <t>V1.0</t>
  </si>
  <si>
    <t>基础模板输出</t>
  </si>
  <si>
    <t>滕庆武、刘虹、高艳、王亚飞</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</si>
  <si>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</si>
  <si>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V1.1</t>
  </si>
  <si>
    <t>增加EMU系列风险评估初版</t>
  </si>
  <si>
    <t>滕庆武</t>
  </si>
  <si>
    <t>备注：</t>
  </si>
  <si>
    <t>1、此由IPD推进办公室负责解释与更新；</t>
  </si>
  <si>
    <t>2、此表由各审核人（资源线经理及项目经理）进行相应审核，并在对应Sheet首行签名。</t>
  </si>
  <si>
    <t>阳光机密 未经许可不得扩散</t>
  </si>
  <si>
    <t>版权所有 侵权必究 ALL RIGHTS RESERVED</t>
  </si>
  <si>
    <t>阳光电源股份有限公司</t>
  </si>
  <si>
    <t>SUNGROW Power Supply Co., Ltd.</t>
  </si>
  <si>
    <t>产品基本信息</t>
  </si>
  <si>
    <t>产品类型</t>
  </si>
  <si>
    <t>通信设备</t>
  </si>
  <si>
    <t>产品型号</t>
  </si>
  <si>
    <t>产品软件版本</t>
  </si>
  <si>
    <t>产品通信环境或南北向环境说明</t>
  </si>
  <si>
    <t>产品通讯矩阵</t>
  </si>
  <si>
    <t>源设备</t>
  </si>
  <si>
    <t>源端口</t>
  </si>
  <si>
    <t>目的设备</t>
  </si>
  <si>
    <t>目的端口</t>
  </si>
  <si>
    <t>协议</t>
  </si>
  <si>
    <t>认证方式</t>
  </si>
  <si>
    <t>加密方式</t>
  </si>
  <si>
    <t>用途说明</t>
  </si>
  <si>
    <t>通信等级</t>
  </si>
  <si>
    <t>PC</t>
  </si>
  <si>
    <t>任意</t>
  </si>
  <si>
    <t>Logger5000</t>
  </si>
  <si>
    <t>https</t>
  </si>
  <si>
    <t>用户名/密码</t>
  </si>
  <si>
    <t>TLS</t>
  </si>
  <si>
    <t>默认访问方式</t>
  </si>
  <si>
    <t>Controlled</t>
  </si>
  <si>
    <t>http</t>
  </si>
  <si>
    <t>无</t>
  </si>
  <si>
    <t>默认关闭，支持开启</t>
  </si>
  <si>
    <t>SSHv2</t>
  </si>
  <si>
    <t>默认关闭</t>
  </si>
  <si>
    <t>MMS</t>
  </si>
  <si>
    <t>北向设备</t>
  </si>
  <si>
    <t>2404—2418</t>
  </si>
  <si>
    <t>IEC104</t>
  </si>
  <si>
    <t>2418 默认开启，2404~2417 默认关闭</t>
  </si>
  <si>
    <t>502-516</t>
  </si>
  <si>
    <t>MODBUSTCP</t>
  </si>
  <si>
    <t>516 默认开启，502~515默认关闭</t>
  </si>
  <si>
    <t>默认开启，支持关闭</t>
  </si>
  <si>
    <t>9998-9999</t>
  </si>
  <si>
    <t>UDP</t>
  </si>
  <si>
    <t>默认关闭，内部调试使用，在linux shell中开启</t>
  </si>
  <si>
    <t>Debug口</t>
  </si>
  <si>
    <t>/</t>
  </si>
  <si>
    <t>RS232协议</t>
  </si>
  <si>
    <t>串口访问linux</t>
  </si>
  <si>
    <t>阳光云</t>
  </si>
  <si>
    <t>MQTT</t>
  </si>
  <si>
    <t>公钥</t>
  </si>
  <si>
    <t>默认关闭，开启给予安全提示，可通过网口</t>
  </si>
  <si>
    <t>TLS/SSL通道加密</t>
  </si>
  <si>
    <t>NTP对时服务器</t>
  </si>
  <si>
    <t>NTP</t>
  </si>
  <si>
    <t>默认关闭，开启给予安全提示</t>
  </si>
  <si>
    <t>NTS对时服务器</t>
  </si>
  <si>
    <t>NTS</t>
  </si>
  <si>
    <t>远端Syslog服务器</t>
  </si>
  <si>
    <t>Syslogd</t>
  </si>
  <si>
    <t>产品功能场景描述（涉及网络安全的功能清单）</t>
  </si>
  <si>
    <t>影响的产品功能</t>
  </si>
  <si>
    <t>功能描述</t>
  </si>
  <si>
    <t>EMU/Logger的登录功能</t>
  </si>
  <si>
    <t>EMU管理页面登录功能</t>
  </si>
  <si>
    <t>EMU/Logger用户管理功能
EMU/Logger的登录功能</t>
  </si>
  <si>
    <t>EMU管理页面登录功能
EMU管理页面用户管理功能</t>
  </si>
  <si>
    <t>EMU/Logger的用户管理功能</t>
  </si>
  <si>
    <t>设备支持普通用户、运维用户、审计用户、管理员等多角色权限管理</t>
  </si>
  <si>
    <t>EMU/Logger的更新功能</t>
  </si>
  <si>
    <t>设备固件升级功能</t>
  </si>
  <si>
    <t>设备固件更新功能</t>
  </si>
  <si>
    <t>EMU/Logger的开发者调试功能</t>
  </si>
  <si>
    <t>EMU/Logger开发账户使用SSH调试设备</t>
  </si>
  <si>
    <t>EMU/Logger的日志记录与审计功能</t>
  </si>
  <si>
    <t>EMU/Logger的日志功能：设备生成、存储、保护操作日志、故障日志、审计日志的能力</t>
  </si>
  <si>
    <t>EMU/Logger的运行和维护功能</t>
  </si>
  <si>
    <t>设备上的调试串口、USB口、Micro SD口、未使用的网络服务等</t>
  </si>
  <si>
    <t>设备退役、返厂维修或回收时，数据永久删除与存储介质安全清理</t>
  </si>
  <si>
    <t>EMU/Logger的日常运行与维护功能</t>
  </si>
  <si>
    <t>设备通过本地Web界面或物理接口进行的手动配置、固件升级、备份恢复等操作</t>
  </si>
  <si>
    <t>设备在认证完成后，后续的调度指令或数据是否仍保持加密</t>
  </si>
  <si>
    <t>EMU/Logger进入用户管理页面的运维功能</t>
  </si>
  <si>
    <t>EMU/Logger的日常运行和维护功能</t>
  </si>
  <si>
    <t>EMU/Logger的运行维护功能</t>
  </si>
  <si>
    <t>设备生成一次性远程访问链接，用于技术支持远程调试</t>
  </si>
  <si>
    <t>EMU/Logger的证书管理功能</t>
  </si>
  <si>
    <t>设备支持HTTPS、IEC104、Modbus TCP、NTS等证书导入、更新、吊销</t>
  </si>
  <si>
    <t>EMU/Logger使用密码学算法</t>
  </si>
  <si>
    <t>设备在数据存储和传输中使用的加密算法（如TLS版本、哈希算法）</t>
  </si>
  <si>
    <t>EMU/Logger的南向、北向网络转发功能</t>
  </si>
  <si>
    <t>设备通过网络接口接收、处理、转发数据的能力</t>
  </si>
  <si>
    <t>EMU/Logger本地的HTTPS通信
EMU/Logger与北向网络的TLS通信</t>
  </si>
  <si>
    <t>设备TLS/HTTPS实现中是否存在弱随机数、证书缺陷等</t>
  </si>
  <si>
    <t>EMU/Logger与南向逆变器的MPLC通信</t>
  </si>
  <si>
    <t>EMU通过MPLC接口与逆变器进行MPLC通信</t>
  </si>
  <si>
    <t>EMU/Logger与南向设备（逆变器、电表）的通信</t>
  </si>
  <si>
    <t>设备从逆变器、电表等南向设备采集数据</t>
  </si>
  <si>
    <t>EMU/Logger与同一网域设备的通信</t>
  </si>
  <si>
    <t>EMU/Logger与同一网域设备（如环状网络时的其他EMU、上层交换机等）的通信</t>
  </si>
  <si>
    <t>EMU/Logger与SCADA/Insight网管的北向通信</t>
  </si>
  <si>
    <t>设备与北向SCADA/Insight网管通信，解析MODBUS、IEC104、GOOSE等协议数据的能力</t>
  </si>
  <si>
    <t>EMU/Logger与阳光云的北向通信</t>
  </si>
  <si>
    <t>设备与阳光云平台之间的MQTT通信，提供数据交互、固件下发等功能</t>
  </si>
  <si>
    <t>三方组件使用</t>
  </si>
  <si>
    <t>EMU及子组件（Logger、交换机、PLC、PID、录波小板、IO板）对三方组件的使用</t>
  </si>
  <si>
    <t>Modbus-RTU更新固件</t>
  </si>
  <si>
    <t>Logger通过Modbus-RTU通道，向PLC、PID-ISO、IO板传输固件</t>
  </si>
  <si>
    <t>Modbus-RTU数据传输</t>
  </si>
  <si>
    <t>Logger通过Modbus-RTU通道，向PLC、PID-ISO、IO板传输数据</t>
  </si>
  <si>
    <t>Logger通过Modbus-RTU通道，向PLC、PID-ISO、IO板传输固件和参数</t>
  </si>
  <si>
    <t>PLC、PID-ISO、IO板的参数设置和数据监控功能</t>
  </si>
  <si>
    <t>PLC、PID-ISO的参数设置和数据监控功能</t>
  </si>
  <si>
    <t>日志审计功能（PLC、PID-ISO、IO部分）</t>
  </si>
  <si>
    <t>调试口默认打开</t>
  </si>
  <si>
    <t>PLC、PID-ISO、IO板的调试功能</t>
  </si>
  <si>
    <t>PID-ISO</t>
  </si>
  <si>
    <t>IO板</t>
  </si>
  <si>
    <t>PLC</t>
  </si>
  <si>
    <t>录波小板</t>
  </si>
  <si>
    <t>交换机</t>
  </si>
  <si>
    <t>安全需求名称</t>
  </si>
  <si>
    <t>网络安全需求内容-Logger</t>
  </si>
  <si>
    <t>网络安全需求内容-PLC/IO板/PID-ISO/录波小板</t>
  </si>
  <si>
    <t>网络安全需求内容-交换机</t>
  </si>
  <si>
    <t>访问控制</t>
  </si>
  <si>
    <t>数据收集最小化</t>
  </si>
  <si>
    <t>安全存储</t>
  </si>
  <si>
    <t>系统完整性</t>
  </si>
  <si>
    <t>安全升级</t>
  </si>
  <si>
    <t>安全日志</t>
  </si>
  <si>
    <t>默认配置安全</t>
  </si>
  <si>
    <t>安全退役</t>
  </si>
  <si>
    <t>漏洞响应</t>
  </si>
  <si>
    <t>采用漏洞管理和三方组件管理机制，避免出现可利用漏洞[PT1, PT3实现]</t>
  </si>
  <si>
    <t>安全指导</t>
  </si>
  <si>
    <t>风险接受：明确评估目标是EMU的密码重置功能，其流程依赖外部客服进行人工干预。本评估假定该密码重置业务流程的通信通道是机密的，且客服人员遵循安全操作规范。
风险消减：如EMU端能实现，需要设置校验码和重置密钥的有效期</t>
  </si>
  <si>
    <t>（系统）云平台实施强访问控制、多因素认证、操作审计、入侵检测、定期渗透测试等。
（系统）定期审查云平台接入授权状态，仅开启必要功能，使用强密码，及时回收过期权限。</t>
  </si>
  <si>
    <t>EMU需要直接或通过配套措施确保：
•自动下载更新；或
•通知新更新的可用性；或
•根据授权用户的要求或计划安装更新。
另外，根据CRA要求，需要提供易用的推迟更新功能（如“稍后提醒”）</t>
  </si>
  <si>
    <t>网络安全手册明确将非安全协议（IEC104/Modbus/Goose）列为风险项</t>
  </si>
  <si>
    <t>（系统）物理访问控制：限制区域的进出，监控等</t>
  </si>
  <si>
    <t>（系统）建立设备处置流程，按需退役高风险设备，退役时执行数据擦除</t>
  </si>
  <si>
    <t>（系统）管理层执行权限分离、操作双人复核、补丁管理等工作</t>
  </si>
  <si>
    <t>风险转移：
1（系统）按照用户手册的要求，尽量缩短通讯距离，MPLC线缆连接箱变母排的耦合点位置建议选择母排中间的断路器，交流线缆做好物理隔离和屏蔽，同一线槽内只能部署同一箱变下的交流线缆
2（系统）在双分裂变压器场景中，一个数据采集器下挂的2个PLC需要设置不同的方阵号（数组编号）
3 （系统）通过物理访问控制限制物理访问，并定期巡检</t>
  </si>
  <si>
    <t>（EMU或系统）定期巡检，比对南向设备数据与预期范围，发现异常及时告警。</t>
  </si>
  <si>
    <t>（系统）在系统网络交换机上通过ACL、白名单限制能访问EMU的IP</t>
  </si>
  <si>
    <t>电站环境限制：户外带监控电站[外部系统实现]</t>
  </si>
  <si>
    <t>具备预期运行的安全功能的验证的能力，要有手册描述</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</si>
  <si>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</si>
  <si>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</si>
  <si>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</si>
  <si>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</si>
  <si>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</si>
  <si>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</si>
  <si>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</si>
  <si>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</si>
  <si>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</si>
  <si>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</si>
  <si>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</si>
  <si>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</si>
  <si>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</si>
  <si>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
Cybersecurity requirements</t>
  </si>
  <si>
    <t>缓解后风险评估
Risk Estimation after treatment</t>
  </si>
  <si>
    <t>缓解后综合风险值
Risk Evaluation after treatment</t>
  </si>
  <si>
    <t>协调标准要求
harmonized standard RQ</t>
  </si>
  <si>
    <t>CRA Requirements
mapping
CRA要求</t>
  </si>
  <si>
    <t>CRA sub Requirements
mapping
CRA要求细则</t>
  </si>
  <si>
    <t>资产列表</t>
  </si>
  <si>
    <t>机密性
Confidentiality</t>
  </si>
  <si>
    <t>完整性
Integrity</t>
  </si>
  <si>
    <t>可用性
Availability</t>
  </si>
  <si>
    <t>真实性
Authenticity</t>
  </si>
  <si>
    <t>授权性
Authorization</t>
  </si>
  <si>
    <t>不可抵赖性
Non-repudiation</t>
  </si>
  <si>
    <t>可能伤害
Damage</t>
  </si>
  <si>
    <t>评分原因
Rationale</t>
  </si>
  <si>
    <t>可重制性
Reproducibility</t>
  </si>
  <si>
    <t>可利用性
Exploitability</t>
  </si>
  <si>
    <t>影响使用者
Affected users</t>
  </si>
  <si>
    <t>可发现性
Discoverability</t>
  </si>
  <si>
    <t>可能性
Likelihood</t>
  </si>
  <si>
    <t>严重性
severity</t>
  </si>
  <si>
    <t>风险值
Risk Value</t>
  </si>
  <si>
    <t>数据资产：
Logger账号密码
安全资产：
重置校验码
安全重置密钥</t>
  </si>
  <si>
    <t>x</t>
  </si>
  <si>
    <t>S, I, E, R</t>
  </si>
  <si>
    <t>攻击者获取设备序列号（SN，可从设备铭牌、二维码、网络泄露等途径获得）和校验码，通过电话或邮件联系客服重置密码</t>
  </si>
  <si>
    <t>攻击者 → 获取设备SN → 获取校验码（若可预测或可窃取） → 冒充管理员联系客服 → 获取重置密钥 → 重置密码 → 登录设备</t>
  </si>
  <si>
    <t>Local Area Network</t>
  </si>
  <si>
    <t>重置密码后取得系统最高权限</t>
  </si>
  <si>
    <t>攻击可重复，但需要物理靠近EMU且客服响应有时间间隔</t>
  </si>
  <si>
    <t>需要社会工程学和信息收集能力</t>
  </si>
  <si>
    <t>仅被社会工程学针对的EMU</t>
  </si>
  <si>
    <t>社会工程学方法公开，客服流程需要摸索</t>
  </si>
  <si>
    <t>中风险</t>
  </si>
  <si>
    <t>不可排除</t>
  </si>
  <si>
    <t>风险消减
风险转移</t>
  </si>
  <si>
    <t>即使成功，危害降低（仍可获管理员权限，但需同时满足物理接近+社工+客服绕过，难度极高）</t>
  </si>
  <si>
    <t>攻击仍可尝试，但需多次物理接近+社工，每次校验码不同且有效期短，不易重复</t>
  </si>
  <si>
    <t>需物理接近、社工技巧、客服验证绕过，技能要求极高，普通攻击者无法实现</t>
  </si>
  <si>
    <t>仅极少数被针对性攻击的设备</t>
  </si>
  <si>
    <t>重置流程已知，但攻击链复杂，需深入侦察</t>
  </si>
  <si>
    <t>低风险</t>
  </si>
  <si>
    <t>Annex I, Part I, 2(a)</t>
  </si>
  <si>
    <t>数据资产：
Logger账号密码
Logger唯一标识符
安全资产：
重置校验码
安全重置密钥</t>
  </si>
  <si>
    <t>攻击者获取设备SN号后通过简单计算或暴力破解方式获取校验码，在管理员操作前联系客服重置密码</t>
  </si>
  <si>
    <t>攻击者 → 获取SN → 预测/暴力校验码 → 向客服申请或直接完成重置 → 获得管理权限</t>
  </si>
  <si>
    <t>需要先靠近EMU获取样本分析，难以重复</t>
  </si>
  <si>
    <t>必须近端靠近EMU，需要突破高压环境和逆向分析能力</t>
  </si>
  <si>
    <t>仅被针对的EMU</t>
  </si>
  <si>
    <t>算法逆向/暴力破解和客服流程都需要摸索</t>
  </si>
  <si>
    <t>可排除</t>
  </si>
  <si>
    <t>Annex I, Part I, 2(e)</t>
  </si>
  <si>
    <t>攻击者截获不安全通道传输的SN号和校验码或客服返回的重置密钥，在管理员之前重置密码</t>
  </si>
  <si>
    <t>攻击者 → 监听通信通道 → 截获密码重置信息→ 冒充合法管理员 → 重置密码</t>
  </si>
  <si>
    <t>Wide Area Network（管理员和客服的通信）</t>
  </si>
  <si>
    <t>需要有用户发起重置过程才能捕获</t>
  </si>
  <si>
    <t>需要具备网络或邮件窃听、劫持能力</t>
  </si>
  <si>
    <t>针对部分不安全通信的用户</t>
  </si>
  <si>
    <t>不安全通信监听方式为公开攻击信息</t>
  </si>
  <si>
    <t>即使凭证被截获，极短有效期和二次验证可防止滥用。</t>
  </si>
  <si>
    <t>攻击者需反复截获，且每次凭证不同，重复性下降。</t>
  </si>
  <si>
    <t>需要具备网络或邮件窃听、劫持能力，但多重验证增加难度</t>
  </si>
  <si>
    <t>所有使用这些通道的用户仍受影响。</t>
  </si>
  <si>
    <t>由于有效期短、分离传输，攻击者难以稳定发现可截获的凭证。</t>
  </si>
  <si>
    <t>攻击者攻陷重置密码客服系统</t>
  </si>
  <si>
    <t>攻击者 → 攻陷客服系统 → 获取批量重置凭证 → 批量重置设备密码 → 控制大量设备</t>
  </si>
  <si>
    <t>Wide Area Network</t>
  </si>
  <si>
    <t>大规模设备被获取系统最高权限</t>
  </si>
  <si>
    <t>在客服系统被修复前都可利用</t>
  </si>
  <si>
    <t>需要极高攻击能力</t>
  </si>
  <si>
    <t>所有依赖客服重置密码的设备</t>
  </si>
  <si>
    <t>客服系统漏洞不公开</t>
  </si>
  <si>
    <t>即使系统被攻陷，因凭证加密且短期有效，攻击者获取后能利用的时间窗口极短；危害降低</t>
  </si>
  <si>
    <t>如客服中心安全强度足够，攻击者难以重复攻陷</t>
  </si>
  <si>
    <t>需高级APT能力攻陷经过加固的客服系统</t>
  </si>
  <si>
    <t>仅极少数在攻击窗口内发起重置的设备受影响</t>
  </si>
  <si>
    <t>系统漏洞不易发现</t>
  </si>
  <si>
    <t>Annex I, Part I, 2(d)
Part II</t>
  </si>
  <si>
    <t>数据资产：
Logger账号密码</t>
  </si>
  <si>
    <t>S, I</t>
  </si>
  <si>
    <t>攻击者 → 访问登录页面 → 获取用户名 → 暴力破解密码 → 进入设备管理页面</t>
  </si>
  <si>
    <t>仅泄露用户名，但为后续攻击提供情报</t>
  </si>
  <si>
    <t>攻击可以用脚本自动化重复</t>
  </si>
  <si>
    <t>需要物理接触设备和使用脚本能力</t>
  </si>
  <si>
    <t>影响所有错误信息过于详细的EMU</t>
  </si>
  <si>
    <t>错误信息可直接被观察到，属于公开已知信息</t>
  </si>
  <si>
    <t>风险消减</t>
  </si>
  <si>
    <t>无法枚举有效用户名</t>
  </si>
  <si>
    <t>攻击者无法通过错误信息差异确认用户名有效性，枚举失去意义</t>
  </si>
  <si>
    <t>无法区分有效/无效用户名，无法利用</t>
  </si>
  <si>
    <t>所有设备均实施统一提示，无敏感信息泄露</t>
  </si>
  <si>
    <t>统一提示后无差异，无法发现有效用户名</t>
  </si>
  <si>
    <t>Annex I, Part I, 2(d）</t>
  </si>
  <si>
    <t>数据资产：
Logger账户密码
功能资产：
EMU、Logger运维功能</t>
  </si>
  <si>
    <t>S,T,I,D,E,R</t>
  </si>
  <si>
    <t>攻击者访问EMU的Web管理界面，使用初始密码尝试登录。</t>
  </si>
  <si>
    <t>攻击者→Web管理界面→默认密码登录→Logger/EMU</t>
  </si>
  <si>
    <t>取得管理员权限，可篡改配置、窃取数据、中断服务</t>
  </si>
  <si>
    <t>由于默认密码泄露，可连续重复使用默认密码登录</t>
  </si>
  <si>
    <t>使用默认密码登录无需额外技能</t>
  </si>
  <si>
    <t>所有使用默认密码的设备都受到影响</t>
  </si>
  <si>
    <t>公开资讯，默认密码规则在用户手册上已知</t>
  </si>
  <si>
    <t>高风险</t>
  </si>
  <si>
    <t>首次登录后必须修改密码，默认密码对攻击者不可用，重新破解密码难度高</t>
  </si>
  <si>
    <t>默认密码失效，不可用同一凭证重新攻击</t>
  </si>
  <si>
    <t>需要破解用户自定义的强密码，可利用性低</t>
  </si>
  <si>
    <t>所有设备均部署风险消减措施</t>
  </si>
  <si>
    <t>默认密码规则公开但攻击者难以利用</t>
  </si>
  <si>
    <t>Annex I, Part I, 2(b)
Annex I, Part I, 2(d)</t>
  </si>
  <si>
    <t>数据资产：
Logger账户密码</t>
  </si>
  <si>
    <t>S, E</t>
  </si>
  <si>
    <t>攻击者访问某台登录后未退出的EMU并修改密码</t>
  </si>
  <si>
    <t>攻击者 → 访问用户管理页面 → 修改密码</t>
  </si>
  <si>
    <t>直接获取账号控制权，可进行所有操作</t>
  </si>
  <si>
    <t>需要先进入登录后的对应用户或管理员界面，难以重复</t>
  </si>
  <si>
    <t>需要物理接触和社会工程学能力，但不需要其他技能</t>
  </si>
  <si>
    <t>单次攻击影响单台EMU，但所有EMU都有可能被影响</t>
  </si>
  <si>
    <t>修改密码不需要旧密码属于公开已知信息</t>
  </si>
  <si>
    <t>无法直接修改密码</t>
  </si>
  <si>
    <t>攻击渠道消失，无法攻击</t>
  </si>
  <si>
    <t>需要物理靠近和绕过旧密码，攻击困难</t>
  </si>
  <si>
    <t>所有设备都补充密码修改要求</t>
  </si>
  <si>
    <t>绕过验证旧密码方法困难</t>
  </si>
  <si>
    <t>修改密码后未使其他已登录会话失效，攻击者可继续进行攻击行为</t>
  </si>
  <si>
    <t>攻击者 → 访问EMU → 修改密码后未强制退出</t>
  </si>
  <si>
    <t>攻击者利用旧会话可继续操作，但需先获得会话</t>
  </si>
  <si>
    <t>需等待用户修改密码事件</t>
  </si>
  <si>
    <t>需要在修改密码前已进入该会话，攻击方式较困难</t>
  </si>
  <si>
    <t>会话管理机制可被测试发现</t>
  </si>
  <si>
    <t>修改密码后其他会话直接登出</t>
  </si>
  <si>
    <t>修改密码后其他会话直接登出，无法攻击</t>
  </si>
  <si>
    <t>所有EMU都部署修改密码后结束会话功能</t>
  </si>
  <si>
    <t>绕过修改密码后结束会话功能困难</t>
  </si>
  <si>
    <t>数据资产：账户密码
安全资产：权限配置
功能资产：用户管理功能</t>
  </si>
  <si>
    <t>　</t>
  </si>
  <si>
    <t>T,I,D,E</t>
  </si>
  <si>
    <t>攻击者利用预期低权限等级的账号（如user账户）登录Web界面，越权执行管理员操作（如修改电网参数、导出证书私钥）。</t>
  </si>
  <si>
    <t>攻击者→获得低权限账号→Web界面→越权操作（权限提升）</t>
  </si>
  <si>
    <t>修改关键配置、导出敏感数据</t>
  </si>
  <si>
    <t>低权限用户可重复利用权限滥用攻击</t>
  </si>
  <si>
    <t>需至少获得低权限账号</t>
  </si>
  <si>
    <t>涉及部分配置不当的设备</t>
  </si>
  <si>
    <t>权限配置不易外部发现</t>
  </si>
  <si>
    <t>RBAC强制职责分离，低权限用户无法越权执行管理员操作；敏感操作需二次鉴权；所有关键操作强制日志记录且加密导出，风险已被严格控制，仅可能泄露系统细节。</t>
  </si>
  <si>
    <t>账号权限与角色绑定，未被授权的操作在系统设计层面被阻断，无法通过自动化方式重复实施。</t>
  </si>
  <si>
    <t>攻击者需同时获得高权限账户（如administrator）并绕过二次鉴权，难度极高。</t>
  </si>
  <si>
    <t>风险影响范围取决于运维管理强度，规范管理的设备影响较低，但疏忽管理的设备仍存在隐患。</t>
  </si>
  <si>
    <t>权限配置情况无法通过外部扫描发现；日志导出加密存储使得已导出文件的可利用性极低。</t>
  </si>
  <si>
    <t>Annex I, Part I, 2(d)</t>
  </si>
  <si>
    <t>数据资产：
固件
功能资产：
EMU、Logger运维功能</t>
  </si>
  <si>
    <t>攻击者篡改固件后通过云端传输（如劫持云端IP）、本地替换运维人员固件等方式上传恶意固件到Logger、录波小板、PLC、PID、IO板、交换机</t>
  </si>
  <si>
    <t>攻击者→替换恶意固件→Logger/EMU</t>
  </si>
  <si>
    <t>Wide Area Network/Local Area Network</t>
  </si>
  <si>
    <t>取得系统最高权限，持久性控制，可窃取敏感信息、破坏设备功能</t>
  </si>
  <si>
    <t>攻击可以不停重制（只要升级过程无校验，攻击者可反复推送篡改包）</t>
  </si>
  <si>
    <t>需要替换管理员的固件或有网络劫持能力</t>
  </si>
  <si>
    <t>部分设备可能受影响（取决于攻击者目标范围，但可通过一次升级推送影响多台设备）</t>
  </si>
  <si>
    <t>固件升级机制公开，但构造特定恶意固件需要针对性分析，漏洞未公开（假设未披露）</t>
  </si>
  <si>
    <t>签名校验从根本上消除了通过篡改升级包植入恶意固件的可能性</t>
  </si>
  <si>
    <t>未签名或签名无效的升级包会被直接拒绝，攻击无法通过重复尝试获得成功</t>
  </si>
  <si>
    <t>由于无法通过签名验证，攻击者几乎无法通过此途径成功攻击设备。</t>
  </si>
  <si>
    <t>若攻击者通过其他途径（如盗取签名私钥），仍可能影响多台设备</t>
  </si>
  <si>
    <t>固件签名机制是公开信息，但绕过该机制需要侵入制造商的内部密钥管理系统</t>
  </si>
  <si>
    <t>Annex I, Part I, 2(f)
Annex I, Part II, 2
Annex I, Part II, 8</t>
  </si>
  <si>
    <t>数据资产：
固件
功能资产：
EMU/Logger运维功能</t>
  </si>
  <si>
    <t>S, T, D</t>
  </si>
  <si>
    <t>EMU如果未校验版本号，攻击者利用云端传输或替换运维人员固件的方式安装低版本升级包，利用已有漏洞攻击设备</t>
  </si>
  <si>
    <t>攻击者-升级包-EMU</t>
  </si>
  <si>
    <t>低版本升级包存在已有漏洞，可能获取设备最高权限</t>
  </si>
  <si>
    <t>攻击路径建立后可根据漏洞类型无限利用</t>
  </si>
  <si>
    <t>需要有一定能力才能攻击</t>
  </si>
  <si>
    <t>所有可被降级的EMU设备均受影响</t>
  </si>
  <si>
    <t>需要查找漏洞库定位已知漏洞，并分析EMU固件确认具体版本</t>
  </si>
  <si>
    <t>用户无法使用官方撤销的旧版本文件成功完成更新</t>
  </si>
  <si>
    <t>禁止降级则风险无法触发</t>
  </si>
  <si>
    <t>攻击者需要突破版本号校验和签名校验才能降级</t>
  </si>
  <si>
    <t>风险不会发生在正常运行中的设备上</t>
  </si>
  <si>
    <t>绕过签名校验和版本号校验难度极大</t>
  </si>
  <si>
    <t>Annex I, Part I, 2(c)
Annex I, Part I, 2(f)
Annex I, Part I, 2(h)</t>
  </si>
  <si>
    <t>攻击者利用旧版本EMU固件版本存在的漏洞攻击未及时更新的EMU</t>
  </si>
  <si>
    <t>攻击者→利用已知漏洞→Logger/EMU</t>
  </si>
  <si>
    <t>Wide Area Network/Local Area Network/Physical</t>
  </si>
  <si>
    <t>具体危害视漏洞而定，如果是高危漏洞可能使攻击者拿到最高权限</t>
  </si>
  <si>
    <t>只要漏洞存在，攻击可自动重复</t>
  </si>
  <si>
    <t>需了解目标设备的漏洞和网络环境，但仍具有一定技能门槛</t>
  </si>
  <si>
    <t>影响所有使用该版本固件且未及时更新的设备</t>
  </si>
  <si>
    <t>利用已知漏洞进行扫描是黑客常用手段，中等难度</t>
  </si>
  <si>
    <t>EMU保持在最新版本，不受已知漏洞攻击</t>
  </si>
  <si>
    <t>安全更新机制正常，难以重复攻击</t>
  </si>
  <si>
    <t>攻击者无法利用已知漏洞攻击最新版本的EMU</t>
  </si>
  <si>
    <t>风险仍会存在于少量未及时更新的EMU上</t>
  </si>
  <si>
    <t>最新版EMU不存在已知漏洞，攻击难度极大</t>
  </si>
  <si>
    <t>Annex I, Part I,2(c)</t>
  </si>
  <si>
    <t>数据资产：
账户密码，设备运维参数
安全资产：
密码密钥</t>
  </si>
  <si>
    <t>S,T,I</t>
  </si>
  <si>
    <t>攻击者利用SSH通道弱配置问题解密或篡改SSH通信数据</t>
  </si>
  <si>
    <t>攻击者→监听SSH通信→利用SSH通信漏洞→解密或篡改数据</t>
  </si>
  <si>
    <t>成功攻击可获取系统最高操作权限</t>
  </si>
  <si>
    <t>一旦SSH服务开启，只要其弱算法配置未被修复，攻击就可以自动化和脚本化地不停重制。</t>
  </si>
  <si>
    <t>需要掌握中等水平的网络分析、密码学知识和攻击工具运用能力</t>
  </si>
  <si>
    <t>影响范围极有限，仅为那些开启SSH服务且未更新安全配置的个别设备。</t>
  </si>
  <si>
    <t>攻击者难以判断某个特定设备是否开启了SSH服务，以及其默认的算法配置。此外，扫描22端口、分析其支持的算法是可能的，但需要专门针对设备进行侦察。</t>
  </si>
  <si>
    <t>即使攻击者利用某些未知漏洞成功登录，其权限可能仅为一个受限账户。若需提权，其危害性高于信息泄露，但显著低于直接获得root权限。</t>
  </si>
  <si>
    <t>弱算法被禁用且SSH使用受限</t>
  </si>
  <si>
    <t>攻击需要精确确认开启SSH的设备</t>
  </si>
  <si>
    <t>仅影响开启SSH的设备</t>
  </si>
  <si>
    <t>弱算法禁用后破解资料不公开</t>
  </si>
  <si>
    <t>安全资产：
日志</t>
  </si>
  <si>
    <t>R</t>
  </si>
  <si>
    <t>攻击者入侵后执行清除日志命令或EMU本身缺少日志审计功能，所有操作记录丢失</t>
  </si>
  <si>
    <t>攻击者→获得访问权限→系统命令行/Web→清除日志文件→无法追溯</t>
  </si>
  <si>
    <t>无法追溯攻击，影响调查和合规</t>
  </si>
  <si>
    <t>可重复清除</t>
  </si>
  <si>
    <t>需获得访问权限后执行清除</t>
  </si>
  <si>
    <t>日志功能缺失一般影响所有设备</t>
  </si>
  <si>
    <t>日志功能缺失主要影响攻击后的事件回溯</t>
  </si>
  <si>
    <t xml:space="preserve">风险消减
风险转移 </t>
  </si>
  <si>
    <t>日志记录完整且保存在持久化存储中，攻击者无法通过简单断电或命令清除操作痕迹，因此仅可能泄露系统细节信息，危害性降至最低</t>
  </si>
  <si>
    <t>攻击行为依旧会被设备本地留存并传输至外部服务器的日志记录，攻击者无法通过重复操作来消除痕迹，因此可重复性较低。</t>
  </si>
  <si>
    <t>攻击者要清除日志需获得较高的系统权限，难度较高。</t>
  </si>
  <si>
    <t>提供日志机制后主要面临的风险是日志安全问题</t>
  </si>
  <si>
    <t>攻击者难以在不留下日志记录的情况下进行攻击测试，因此可发现性较低。</t>
  </si>
  <si>
    <t>Annex I, Part I, 2(l)</t>
  </si>
  <si>
    <t>数据资产：
配置文件和参数，账户密码
安全资产：
日志
功能资产：
EMU、Logger的运维功能</t>
  </si>
  <si>
    <t>T,R,I,D,E</t>
  </si>
  <si>
    <t>攻击者物理接触设备后连接串口，无需认证即可进入Linux shell，提取配置文件或植入后门；或者通过网络扫描发现开启的SSH服务，使用弱密码登录。</t>
  </si>
  <si>
    <t>攻击者→物理接触/网络扫描→Debug串口/SSH/HTTP→未授权访问→Logger/EMU</t>
  </si>
  <si>
    <t>Local Area Network/Physical</t>
  </si>
  <si>
    <t>可未授权访问、提取配置、植入后门</t>
  </si>
  <si>
    <t>物理接口访问困难，但如果网络调试接口打开则可重复</t>
  </si>
  <si>
    <t>调试接口需物理接触，网络服务需扫描，有一定技能</t>
  </si>
  <si>
    <t>部分设备默认配置可能开启</t>
  </si>
  <si>
    <t>接口存在已知，但需知道位置</t>
  </si>
  <si>
    <t>获得物理访问权限后，可获取最终控制权。危害降低，但仍存在通过物理接触获得较高权限的可能</t>
  </si>
  <si>
    <t>基本杜绝了网络攻击的可能。物理攻击触发难度高，不易重复成功</t>
  </si>
  <si>
    <t>成功实施攻击需要极高的技能水平和特定的物理接触条件</t>
  </si>
  <si>
    <t>由于其极高的实施门槛，仅有极少数设备可能面临此类定制化攻击</t>
  </si>
  <si>
    <t>接口位置隐蔽，即使在机柜内部也难以被发现；且非公开漏洞极难发现</t>
  </si>
  <si>
    <t>Annex I, Part I, 2(b)
Annex I, Part I, 2(j)</t>
  </si>
  <si>
    <t>数据资产：
配置文件和参数，网络拓扑信息
安全资产：
日志，密码哈希，密钥</t>
  </si>
  <si>
    <t>I</t>
  </si>
  <si>
    <t>新持有者拆解设备，读取Flash芯片，提取其中的配置文件、密码哈希、证书私钥和网络拓扑信息</t>
  </si>
  <si>
    <t>攻击者→物理拆解→存储芯片读取→获取敏感信息</t>
  </si>
  <si>
    <t>Physical</t>
  </si>
  <si>
    <t>泄露网络拓扑、密码哈希、密钥等敏感信息，但未直接获得最高权限</t>
  </si>
  <si>
    <t>可重复，只要设备未擦除</t>
  </si>
  <si>
    <t>需具备硬件拆解和芯片读取技能</t>
  </si>
  <si>
    <t>部分退役设备受影响，非所有</t>
  </si>
  <si>
    <t>物理手段读取数据的相关技术已知，但需专业知识</t>
  </si>
  <si>
    <t>1、恢复出厂设置 （Web界面和硬件复位RST按钮）
2、用户文档要求用户退役时恢复出厂设置</t>
  </si>
  <si>
    <t>　执行恢复出厂设置后，用户密码、日志等敏感数据被清除，残留信息至多为系统出厂默认状态，无实质性敏感信息泄露。</t>
  </si>
  <si>
    <t>攻击者无法通过获取同一退役设备重复获取数据</t>
  </si>
  <si>
    <t>　即便设备未清除数据，攻击者仍需具备硬件拆解、芯片读取等技能。若设备已清除，则无法利用。</t>
  </si>
  <si>
    <t>　在规范的退役流程下，所有设备均会执行恢复出厂设置，因此受影响的设备比例极低</t>
  </si>
  <si>
    <t>　恢复出厂设置功能的存在是公开信息，但攻击者难以预知哪些退役设备未执行此操作。</t>
  </si>
  <si>
    <t>Annex I, Part I, 2(g)
Annex I, Part I, 2(m)</t>
  </si>
  <si>
    <t>数据资产：
固件、设备配置参数
功能资产：
EMU/Logger运维功能</t>
  </si>
  <si>
    <t>攻击者→物理调试口→替换恶意固件→Logger/EMU</t>
  </si>
  <si>
    <t>取得系统最高权限，持久性控制，且更难检测</t>
  </si>
  <si>
    <t>攻击可以不停重制（一旦烧录恶意固件，每次启动都会执行）</t>
  </si>
  <si>
    <t>攻击者需逐台物理接触，影响极低比例设备</t>
  </si>
  <si>
    <t>数据资产：
固件，账户密码， 配置文件和参数，网络拓扑信息
安全资产：日志，密钥
功能资产：EMU/Logger运维功能</t>
  </si>
  <si>
    <t>S,T,I,D,E</t>
  </si>
  <si>
    <t>攻击者物理靠近并打开机柜，攻击设备</t>
  </si>
  <si>
    <t>攻击者→物理接触→Logger/EMU</t>
  </si>
  <si>
    <t>通过物理接口可获取最高权限、窃取数据、损害设备</t>
  </si>
  <si>
    <t>突破物理防护后可重复攻击，但不能24小时连续攻击</t>
  </si>
  <si>
    <t>需物理突破机柜锁具、高电压环境</t>
  </si>
  <si>
    <t>物理接触的设备及下属设备</t>
  </si>
  <si>
    <t>内部接口位置需拆解，不易发现</t>
  </si>
  <si>
    <t>攻击者即便成功，可直接获取的可利用信息的价值大幅降低，同时达成目标需付出极高代价（如需具备焊接、逆向工程等能力）</t>
  </si>
  <si>
    <t>实施物理接触后，攻击者还需突破数据加密、二次认证等设备自身的安全防线。成功攻击需要多个高难度步骤，难以重复。</t>
  </si>
  <si>
    <t>突破物理防护（锁、门禁）、拆解设备、焊接芯片、破解加密算法等系列操作，需要极高的专业技能和昂贵的专用设备，普通人无法实现。</t>
  </si>
  <si>
    <t>物理攻击必须是 “点对点” 的精准打击，一次攻击只能影响极个别特定设备。</t>
  </si>
  <si>
    <t>物理攻击所需的完整攻击链极为复杂，攻击者在侦察阶段难以通过扫描或常规手段发现所有环节的弱点，降低了其尝试的意愿。</t>
  </si>
  <si>
    <t>数据资产：
配置文件，账户密码，日志
功能资产：
EMU/Logger运维功能</t>
  </si>
  <si>
    <t>T,E</t>
  </si>
  <si>
    <t>攻击者利用运维人员配置错误造成的漏洞成功入侵。</t>
  </si>
  <si>
    <t>运维人员→误操作/遗漏补丁→安全策略失效/已知漏洞残留→被攻击者利用</t>
  </si>
  <si>
    <t>安全策略失效，存在已知漏洞</t>
  </si>
  <si>
    <t>人为失误难以完全重复</t>
  </si>
  <si>
    <t>需依赖运维错误</t>
  </si>
  <si>
    <t>部分运维不当的设备</t>
  </si>
  <si>
    <t>内部操作，外部难以发现</t>
  </si>
  <si>
    <t>即使发生误操作，可通过备份恢复快速回退，影响可控；补丁遗漏可通过定期审计发现并补救，危害降至“系统细节泄露”级别。</t>
  </si>
  <si>
    <t>规范的变更流程和双人复核制度使同样的误操作难以重复发生。</t>
  </si>
  <si>
    <t>攻击者无法直接利用运维失误（需要诱导运维人员犯错），难度极高。</t>
  </si>
  <si>
    <t>仍可能影响管理不规范的设备，但正确管理的设备影响范围缩小。</t>
  </si>
  <si>
    <t>失误不易被外部发现，需依赖内部审计。</t>
  </si>
  <si>
    <t>Annex I, Part I, 2(b)</t>
  </si>
  <si>
    <t>数据资产：
账户密码，设备参数（调度配置参数、功率设定值、通信IP等）</t>
  </si>
  <si>
    <t>攻击者窃听明文会话，篡改指令，导致逆变器输出异常。</t>
  </si>
  <si>
    <t>攻击者→监听会话→篡改调度指令→未加密指令→逆变器功率错误</t>
  </si>
  <si>
    <t>明文传输的指令被篡改、功率错误或信息泄露</t>
  </si>
  <si>
    <t>明文传输的命令可被重复攻击</t>
  </si>
  <si>
    <t>需会话劫持或中间人，需要物理靠近设备或监听管理员设备</t>
  </si>
  <si>
    <t>主要影响所有明文传输配置数据的EMU</t>
  </si>
  <si>
    <t>如果确认EMU认证后明文传输命令，则中间人攻击方式为公开资料</t>
  </si>
  <si>
    <t>TLS加密传输，无法被明文读取</t>
  </si>
  <si>
    <t>TLS加密传输，攻击无法重复</t>
  </si>
  <si>
    <t>如果TLS使用推荐配置，破解难度极高</t>
  </si>
  <si>
    <t>所有设备都使用TLS配置</t>
  </si>
  <si>
    <t>破解推荐配置TLS的资料不公开</t>
  </si>
  <si>
    <t>数据资产：
账户密码，设备文件和参数
功能资产：
EMU/Logger运维功能</t>
  </si>
  <si>
    <t>S, T, I, R, E</t>
  </si>
  <si>
    <t>攻击者获取可用的会话ID，利用会话ID构造登录数据包，进入用户管理页面</t>
  </si>
  <si>
    <t>攻击者→获取可用会话ID→构造会话登录数据包→访问EMU管理页面</t>
  </si>
  <si>
    <t>成功后可获得完整操作权限（与劫持的用户权限一致），可修改配置、下发指令、窃取数据。</t>
  </si>
  <si>
    <t>攻击可重复，但需等待会话生成或用户登录事件，并非总能够即时成功。</t>
  </si>
  <si>
    <t>需要一定的技能（网络监听、会话预测分析、XSS等），但工具化程度高，中等水平攻击者可利用。</t>
  </si>
  <si>
    <t>所有使用Web管理界面的设备均受影响。</t>
  </si>
  <si>
    <t>会话管理缺陷可通过抓包、分析Cookie、测试登出行为等发现，需一定技术背景。</t>
  </si>
  <si>
    <t>会话劫持仍可能发生（如本地物理入侵），但措施已大幅降低可能性。</t>
  </si>
  <si>
    <t>会话ID不可预测、登出后立即失效、超时强制失效，攻击难以重复。</t>
  </si>
  <si>
    <t>需要极高技能（如绕过绑定、预测安全随机数），普通攻击者无法利用。</t>
  </si>
  <si>
    <t>仍影响所有使用Web的设备。</t>
  </si>
  <si>
    <t>缺陷被修复后，攻击者难以发现可利用的弱点。</t>
  </si>
  <si>
    <t>数据资产：
配置参数
功能资产：
EMU/Logger运维功能</t>
  </si>
  <si>
    <t>S, T, I,D, R, E</t>
  </si>
  <si>
    <t>攻击者在Web的输入框构造恶意脚本或畸形输入，影响设备</t>
  </si>
  <si>
    <t>攻击者 → 构造恶意字符串 → Web输入框 → 后端拼接到系统命令 → 操作系统执行 → 控制或损坏设备</t>
  </si>
  <si>
    <t>命令注入或SQL注入可直接获得系统最高权限（root），完全控制设备；XSS可窃取会话；日志注入破坏审计可信度</t>
  </si>
  <si>
    <t>攻击可自动化批量进行，使用工具可快速发送大量恶意请求</t>
  </si>
  <si>
    <t>需要了解Web功能参数，具备注入技术知识，但工具化程度高</t>
  </si>
  <si>
    <t>所有使用Web管理界面的设备均受影响，限于暴露于攻击者可访问的设备</t>
  </si>
  <si>
    <t>输入点可通过抓包发现，具体注入漏洞需针对性测试</t>
  </si>
  <si>
    <t>严格输入校验和输出编码后，注入攻击被阻断，仅可能泄露系统细节（如被拒绝的请求日志），无实质性危害</t>
  </si>
  <si>
    <t>恶意输入被拒绝或无害化处理，攻击无法重复成功</t>
  </si>
  <si>
    <t>严格的输入白名单校验使攻击者无法找到可利用的注入点</t>
  </si>
  <si>
    <t>所有设备均受益于安全编码</t>
  </si>
  <si>
    <t>经过全面的安全加固后，攻击者难以通过常规手段发现注入漏洞</t>
  </si>
  <si>
    <t>Annex I Part I, 2(d)
Annex I Part I, 2(f)
Annex I Part I, 2(j)
Annex I Part I, 2(k)
Annex I Part I, 2(l)
Annex I Part II, 3</t>
  </si>
  <si>
    <t>数据资产：
固件-Logger固件和下属设备固件(如PLC、PID、录波小板、IO板）、配置文件、账户密码
安全资产：
证书、日志</t>
  </si>
  <si>
    <t>T,I,E</t>
  </si>
  <si>
    <t>攻击者通过Web界面导出未加密的配置文件或日志，从中提取管理员密码哈希、IP地址、证书私钥等。或者攻击者上传恶意固件包（绕过签名校验），导致设备被完全控制。</t>
  </si>
  <si>
    <t>攻击者→Web界面→未加密导出→获取敏感信息；或上传恶意固件</t>
  </si>
  <si>
    <t>泄露敏感配置或上传恶意固件</t>
  </si>
  <si>
    <t>可重复，但需要物理靠近设备连接EMU或攻击管理员电脑，难以24小时连续攻击</t>
  </si>
  <si>
    <t>攻击者自行攻击需要有物理防护措施，攻击管理员电脑需要有针对电脑的攻击措施</t>
  </si>
  <si>
    <t>影响需要导出数据的设备</t>
  </si>
  <si>
    <t>如果EMU导出数据未加密，则攻击方式易被获取</t>
  </si>
  <si>
    <t>备份文件强密码加密后无法解压读取；日志导出加密后无法解密；固件签名验证阻止恶意固件植入。最大可能泄露的内容仅为加密压缩包的存在本身，无实质信息泄露。</t>
  </si>
  <si>
    <t>加密密码按强规则随机设置，签名验证无法绕过。攻击者无法重复成功提取可读的敏感信息或植入恶意固件。</t>
  </si>
  <si>
    <t>要成功利用，需要猜测或暴力破解强加密密码（8-32位三类字符组合，实际不可行），或窃取固件签名私钥（高度受控）。技能要求极高。</t>
  </si>
  <si>
    <t>所有使用备份、日志导出、固件升级功能的设备均受保护。加密和签名机制覆盖全体设备，但用户操作（如密码管理）仍可能影响个体设备。</t>
  </si>
  <si>
    <t>攻击者无法通过扫描等常规方式发现备份文件或升级包的可利用弱点；加密和签名机制使外部攻击者对文件内容的利用极难。</t>
  </si>
  <si>
    <t>Annex I, Part I, 2(f)
Annex I, Part II, 8</t>
  </si>
  <si>
    <t>数据资产：
远程访问凭证、配置文件和参数
功能资产：
远程维护功能</t>
  </si>
  <si>
    <t>攻击者使用远程维护链接直接登录Logger的调试界面，无需额外认证，执行导出配置、修改运行参数等操作。</t>
  </si>
  <si>
    <t>攻击者→获取远程维护链接→远程登录调试界面→未授权操作</t>
  </si>
  <si>
    <t>远程维护链接可导出配置、修改参数</t>
  </si>
  <si>
    <t>链接泄露事件不易重复</t>
  </si>
  <si>
    <t>需获得远程维护链接</t>
  </si>
  <si>
    <t>仅开启远程维护的设备</t>
  </si>
  <si>
    <t>链接私密，需要采用社会工程学等方式获取</t>
  </si>
  <si>
    <t>默认关闭+动态链接有效防止长期暴露，即使链接泄露，攻击者也需在有效期内、且具备管理员权限才能成功，危害降低。</t>
  </si>
  <si>
    <t>链接是动态的，功能默认关闭，攻击者无法重复利用泄露的链接，或重复发现可用的入口。</t>
  </si>
  <si>
    <t>攻击者需突破网络隔离、获取administrator权限，并配合社工等手段，要求极高。</t>
  </si>
  <si>
    <t>由于功能默认关闭，仅影响少数被管理员授权开启且疏于管理的设备，影响用户范围极小。</t>
  </si>
  <si>
    <t>功能默认关闭，外部扫描无法发现。即使开启，非授权用户也无法在有效期内发现并利用动态链接。</t>
  </si>
  <si>
    <t>Annex I, Part I, 2(d)
Annex I, Part I, 2(j)</t>
  </si>
  <si>
    <t>安全资产：证书、私钥
功能资产：EMU/Logger的安全通信功能</t>
  </si>
  <si>
    <t>攻击者获得该默认证书（可从另一台同型号设备导出或网络下载），实施中间人攻击，解密所有加密通信。或者证书私钥因管理不当泄露，攻击者直接伪造合法服务器。</t>
  </si>
  <si>
    <t>攻击者→获取默认证书/私钥→中间人攻击→解密通信/伪造服务</t>
  </si>
  <si>
    <t>Network</t>
  </si>
  <si>
    <t>中间人攻击，解密通信</t>
  </si>
  <si>
    <t>作为中间人接入网络后可重复连续攻击</t>
  </si>
  <si>
    <t>需具备作为中间人接入攻击网络的能力</t>
  </si>
  <si>
    <t>涉及证书未正确配置的设备</t>
  </si>
  <si>
    <t>证书问题导致的中间人等攻击方式属于公开资料</t>
  </si>
  <si>
    <t>证书签名、链验证、吊销状态检查及私钥加密存储，彻底阻止了利用伪造、过期或泄露证书实施中间人攻击的可能，仅可能泄露系统细节。</t>
  </si>
  <si>
    <t>证书验证机制完善后，攻击者无法通过重复尝试绕过。</t>
  </si>
  <si>
    <t>攻击者需同时突破多项验证机制（如窃取私钥并绕过吊销检查），难度极高。</t>
  </si>
  <si>
    <t>所有正确配置证书的设备均受益，但用户未正确部署自签名证书或未配置吊销检查仍可能受影响。</t>
  </si>
  <si>
    <t>证书验证机制隐藏了可利用的弱点，外部攻击者难以发现。</t>
  </si>
  <si>
    <t>Annex I, Part I, 2(d)
Annex I, Part I, 2(e)</t>
  </si>
  <si>
    <t>数据资产：
固件、账户密码、设备文件和参数
安全资产：证书</t>
  </si>
  <si>
    <t>攻击者捕获密文后，利用彩虹表（针对MD5）或已知漏洞（如POODLE攻击）快速破解，获取管理员密码或会话密钥，进而伪造合法登录或解密通信内容。</t>
  </si>
  <si>
    <t>攻击者→捕获密文→破解过时算法→获取密码/会话密钥</t>
  </si>
  <si>
    <t>密码泄露或伪造通信</t>
  </si>
  <si>
    <t>同一弱点可连续重复攻击</t>
  </si>
  <si>
    <t>需捕获密文并破解，有一定技能</t>
  </si>
  <si>
    <t>所有使用弱密码学算法的设备</t>
  </si>
  <si>
    <t>弱算法缺陷公开</t>
  </si>
  <si>
    <t>强加密算法和可靠随机数，使攻击者几乎无法破解加密数据，危害降至最低。</t>
  </si>
  <si>
    <t>强协议和算法配置稳固，攻击难以重现。</t>
  </si>
  <si>
    <t>攻击者需要极高的专业知识，才能发现并利用实现上的细微缺陷，难度极大。</t>
  </si>
  <si>
    <t>所有设备均受益于强加密配置</t>
  </si>
  <si>
    <t>强密码套件和证书配置使攻击者难以扫描到可利用的弱点。</t>
  </si>
  <si>
    <t>功能资产：
EMU、Logger运维功能</t>
  </si>
  <si>
    <t>D</t>
  </si>
  <si>
    <t>攻击者与Logger/EMU处于同一广播域（或通过被入侵的设备），向设备以太网口发送大量畸形包（如畸形的ARP、ICMP或UDP碎片包）或构造广播风暴。</t>
  </si>
  <si>
    <t>攻击者→同一广播域→以太网接口→发送畸形包/广播风暴→Logger/EMU</t>
  </si>
  <si>
    <t>服务中断，影响监控与调度，但未造成数据泄露或权限丢失</t>
  </si>
  <si>
    <t>可不停重发</t>
  </si>
  <si>
    <t>需构造畸形包，具有一定技能</t>
  </si>
  <si>
    <t>部分暴露在网络风暴中的设备</t>
  </si>
  <si>
    <t>DoS攻击手法公开，但具体畸形包需适配</t>
  </si>
  <si>
    <t>DoS攻击的完整防护仍需依赖电站系统部署的外部防护</t>
  </si>
  <si>
    <t>协议栈充分校验后，畸形包被丢弃，无法重复触发崩溃</t>
  </si>
  <si>
    <t>对EMU的保护不影响攻击方式，可利用性计分不变</t>
  </si>
  <si>
    <t>影响部分暴露于不安全网络的设备</t>
  </si>
  <si>
    <t>攻击向量公开，但具体成功攻击需要针对性分析，风险处置措施增加发现难度</t>
  </si>
  <si>
    <t>Annex I, Part I, 2(h)</t>
  </si>
  <si>
    <t>安全资产：
证书、私钥、安全通信功能</t>
  </si>
  <si>
    <t>攻击者利用TLS通道的缺陷（如弱随机数、证书缺陷等）窃取TLS通信的密钥、证书，解密或篡改TLS通信数据</t>
  </si>
  <si>
    <t>攻击者→监听TLS通信→利用TLS通信漏洞→获取密钥或证书→解密或篡改数据</t>
  </si>
  <si>
    <t>Wide Area Network/ Local Area Network</t>
  </si>
  <si>
    <t>解密会话密钥可窃取、篡改TLS通信，但一般不影响EMU权限</t>
  </si>
  <si>
    <t>可重复监听，但部分攻击需要物理接触EMU或管理员电脑</t>
  </si>
  <si>
    <t>需具备网络嗅探和密码学知识</t>
  </si>
  <si>
    <t>影响TLS未按推荐要求设置的EMU</t>
  </si>
  <si>
    <t>TLS弱配置导致的漏洞信息公开，但EMU具体可能被发现的漏洞不公开</t>
  </si>
  <si>
    <t>使用TLS推荐配置，攻击难度极高</t>
  </si>
  <si>
    <t>攻击难度增大</t>
  </si>
  <si>
    <t>攻击者需具备较强的专业技能，且需要物理贴近或突破网络隔离</t>
  </si>
  <si>
    <t>所有使用Web界面管理的设备均受益于TLS管理功能</t>
  </si>
  <si>
    <t>弱配置问题仍可能被专业工具扫描发现</t>
  </si>
  <si>
    <t>Annex I, Part I, 2(k)
Annex I, Part II, 3</t>
  </si>
  <si>
    <t>数据资产：
配置文件和参数（逆变器实时运行数据、发电量数据、设备状态与故障告警信息、MPLC配置参数（频段、方阵号、从节点地址等））
功能资产：EMU、Logger运维功能</t>
  </si>
  <si>
    <t>T,I,D</t>
  </si>
  <si>
    <t>攻击者使用耦合器连接到逆变器侧的交流电力线上，向电力线注入高频干扰信号，破坏MPLC载波通信，导致Logger无法采集逆变器数据；或者使用专用PLC监听设备，解调电力线上的MPLC信号，窃取逆变器的实时发电量、运行状态等敏感信息。</t>
  </si>
  <si>
    <t>攻击者→物理接触电力线→耦合注入干扰/监听→MPLC通信中断/数据泄露</t>
  </si>
  <si>
    <t>通信中断或窃取发电量、状态信息</t>
  </si>
  <si>
    <t>需要物理靠近，可重复但难以24小时攻击</t>
  </si>
  <si>
    <t>需耦合电力线，高电压危险，物理接触难度大</t>
  </si>
  <si>
    <t>部分使用MPLC的设备</t>
  </si>
  <si>
    <t>针对MPLC通信的干扰攻击属于公开资料</t>
  </si>
  <si>
    <t>物理隔离与频段切换配合提高了攻击门槛；若攻击者仍能突破，泄露的数据量仍受限于应用层数据本身，无额外密钥或私密信息泄露，危害降至“泄露系统细节”级别。</t>
  </si>
  <si>
    <t>跳频机制使攻击者难以在固定频段上持续干扰或监听；攻击虽可尝试但重复成功的难度较高。</t>
  </si>
  <si>
    <t>攻击者仍需要具备电力线通信的专业知识、专用耦合设备并突破电站物理访问控制，技能要求极高，此项保持不变。</t>
  </si>
  <si>
    <t>只要部署MPLC并暴露于电站配电网络中的设备均可能受影响，此项保持不变。</t>
  </si>
  <si>
    <t>频段切换与跳频机制使攻击者难以在公开频段上稳定发现和锁定通信信号。</t>
  </si>
  <si>
    <t>Annex I, Part I, 2(e)
Annex I, Part I, 2(h)
Annex I, Part I, 2(i)</t>
  </si>
  <si>
    <t>功能资产：EMU/Logger运维功能</t>
  </si>
  <si>
    <t>D,T</t>
  </si>
  <si>
    <t>攻击者攻陷了接入Logger的逆变器或电表。被控设备按照攻击者意图，向Logger发送伪造的电压/电流数据、虚假的故障告警。</t>
  </si>
  <si>
    <t>攻击者 → 攻陷南向从机设备（逆变器/电表）→ 篡改从机响应数据 → EMU查询时收到伪造数据 → 数据准确性受损/调度闭环错误</t>
  </si>
  <si>
    <t>影响数据准确性和调度闭环，未直接获得设备控制权</t>
  </si>
  <si>
    <t>被攻陷的南向设备可在每次EMU查询时持续返回伪造数据，可重复</t>
  </si>
  <si>
    <t>需攻陷南向设备并篡改其固件/配置，仍需一定技能</t>
  </si>
  <si>
    <t>部分南向设备被攻陷影响其关联的EMU</t>
  </si>
  <si>
    <t>攻击者需要发现南向设备（逆变器和电表）的漏洞，难度适中</t>
  </si>
  <si>
    <t>EMU侧数据校验后，伪造数据被识别并拒绝用于调度闭环，仅可能造成监控显示异常，不直接影响功率调节，危害降至“泄露系统细节”级别。</t>
  </si>
  <si>
    <t>数据校验机制会记录异常并可能隔离从机，攻击者无法重复成功注入虚假数据。</t>
  </si>
  <si>
    <t>需要同时攻陷从机固件并绕过EMU的校验逻辑，技能要求极高，普通攻击者无法实现。</t>
  </si>
  <si>
    <t>仍可能影响部分配置不当或未启用校验的设备，但范围可控。</t>
  </si>
  <si>
    <t>数据校验机制使攻击者难以确认哪些数据会被过滤，增加了发现漏洞的难度。</t>
  </si>
  <si>
    <t>Annex I, Part I, 2(f)
Annex I, Part I, 2(i)</t>
  </si>
  <si>
    <t>数据资产：
配置文件和参数，账户密码
功能资产：
EMU/Logger运维功能</t>
  </si>
  <si>
    <t>攻击者通过被控制的以太网环网节点发起横向移动和ARP欺骗攻击。</t>
  </si>
  <si>
    <t>攻击者 -&gt; 攻陷同一局域网广播域设备 -&gt; ARP欺骗/网络扫描 -&gt; Logger/EMU管理端口</t>
  </si>
  <si>
    <t>可能通过局域网攻击获得Web管理权限，控制设备</t>
  </si>
  <si>
    <t>同一网域设备被劫持，可重复攻击</t>
  </si>
  <si>
    <t>需先攻陷同域设备，具备网络攻击技能</t>
  </si>
  <si>
    <t>部分部署在环网中的设备</t>
  </si>
  <si>
    <t>同一网域内横向移动攻击方法公开</t>
  </si>
  <si>
    <t>防护措施极大增加了攻击难度，即使成功，也受到日志审计、访问控制等严格限制。</t>
  </si>
  <si>
    <t>高危漏洞修复、ACL/白名单限制、ARP 防护等因素使攻击难以重复。</t>
  </si>
  <si>
    <t>需要突破多层网络隔离、访问控制和安全策略，对攻击者的技能要求极高。</t>
  </si>
  <si>
    <t>风险影响范围取决于用户对部署环境的加固程度。</t>
  </si>
  <si>
    <t>网络隔离策略和 ACL 等隐藏了攻击面，使攻击者难以发现可利用的路径。</t>
  </si>
  <si>
    <t>Annex I, Part I, 2(d)
Annex I, Part I, 2(i)</t>
  </si>
  <si>
    <t>攻击者攻陷内网设备，通过端口扫描发现并攻击设备</t>
  </si>
  <si>
    <t>攻击者→攻陷内网设备→网络扫描→开放管理端口→弱认证/漏洞→Logger/EMU</t>
  </si>
  <si>
    <t>如果攻击成立可获得管理权限</t>
  </si>
  <si>
    <t>需内网跳板，具备扫描和利用能力</t>
  </si>
  <si>
    <t>部分暴露在内网的设备</t>
  </si>
  <si>
    <t>端口扫描和漏洞利用知识公开</t>
  </si>
  <si>
    <t>即使攻击者突破跳板，管理端口受ACL、白名单限制，且登录需强密码，成功攻击的危害降低（无法直接获得最高权限或需额外绕过）。</t>
  </si>
  <si>
    <t>端口隐藏（非默认端口可选）、IP白名单、登录锁定等措施使自动化的端口扫描和暴力破解无法重复成功。</t>
  </si>
  <si>
    <t>需要突破网络隔离、绕过ACL、猜测强密码或利用未知漏洞，技能要求极高。</t>
  </si>
  <si>
    <t>所有未正确部署上述措施的设备仍可能受影响，但正确部署后影响范围缩小。</t>
  </si>
  <si>
    <t>网络隔离和ACL隐藏了管理端口，外部扫描无法发现；内部扫描也需跳板且受白名单限制，发现难度大。</t>
  </si>
  <si>
    <t>数据资产：
协议数据，配置文件和参数
功能资产：
EMU/Logger运维功能</t>
  </si>
  <si>
    <t>T,D</t>
  </si>
  <si>
    <t>攻击者向Logger/EMU开放的IEC104或Modbus TCP端口发送畸形报文。</t>
  </si>
  <si>
    <t>攻击者→网络可达→IEC104/Modbus端口→畸形协议报文→Logger/EMU</t>
  </si>
  <si>
    <t>Wide Area Network/Local Area Network
（如果考虑交换机和SCADA/Insight通信可能存在远端通信的情况，广域网场景不能排除）</t>
  </si>
  <si>
    <t>可导致远程代码执行，取得最高权限</t>
  </si>
  <si>
    <t>可重复发送畸形包</t>
  </si>
  <si>
    <t>需构造特定协议报文，需协议知识和漏洞挖掘</t>
  </si>
  <si>
    <t>部分暴露在特定北向网管下的设备</t>
  </si>
  <si>
    <t>缓冲区溢出漏洞公开，但具体偏移需发现</t>
  </si>
  <si>
    <t>　攻击成功的概率降低。即使在理想测试下仍可能存在未知漏洞（0-day），但结合网络与主机层的多重防护，攻击者成功实现远程代码执行攻击的难度极大</t>
  </si>
  <si>
    <t>实施全面的协议健壮性测试后，现存的解析漏洞已被发现并修复。攻击者难以找到可供稳定利用的路径。</t>
  </si>
  <si>
    <t>实施严格的输入验证后，解析器对畸形包的处理行为是确定性且安全的。攻击者构造特定畸形包的尝试被阻断，无法成功利用。　</t>
  </si>
  <si>
    <t>该风险的影响范围依赖于网络部署情况。对于任何暴露于不安全或半安全网络环境的设备，此风险依然存在，故评分不变。</t>
  </si>
  <si>
    <t>　经过加固后，协议解析器漏洞基本被消除。外部攻击者无法通过常规的黑盒测试轻易发现可利用的入口点。</t>
  </si>
  <si>
    <t>功能资产：
EMU/Logger运维功能</t>
  </si>
  <si>
    <t>攻击者向Logger/EMU开放的IEC104或Modbus TCP端口发送大量报文</t>
  </si>
  <si>
    <t>攻击者→网络可达→Modbus/IEC 104端口→发送大量报文→Logger/EMU</t>
  </si>
  <si>
    <t>消耗资源导致服务不可用</t>
  </si>
  <si>
    <t>可重复发送请求</t>
  </si>
  <si>
    <t>需知道Modbus、IEC 104端口开放</t>
  </si>
  <si>
    <t>部分暴露于不安全网络环境的设备</t>
  </si>
  <si>
    <t>端口开放可通过扫描发现，攻击手法公开</t>
  </si>
  <si>
    <t>仍可能造成服务中断，但IP白名单大幅降低攻击面</t>
  </si>
  <si>
    <t>白名单限制了可访问IP，攻击难以重复</t>
  </si>
  <si>
    <t>需突破网络隔离和白名单，技能要求极高</t>
  </si>
  <si>
    <t>影响范围取决于部署环境加固程度</t>
  </si>
  <si>
    <t>白名单隐藏了端口，扫描无法发现</t>
  </si>
  <si>
    <t>Annex I, Part I, 2(k)</t>
  </si>
  <si>
    <t>数据资产：
设备参数
功能资产：
EMU/Logger运维功能</t>
  </si>
  <si>
    <t>I, T</t>
  </si>
  <si>
    <t>攻击者接入与Logger/EMU同一广播域的网络（例如接入电站内部交换机），使用Wireshark等工具被动监听网络流量。</t>
  </si>
  <si>
    <t>攻击者→网管所在网域→网络监听→未加密协议→获取敏感信息</t>
  </si>
  <si>
    <t xml:space="preserve"> 泄露网络拓扑、设备版本、运行参数</t>
  </si>
  <si>
    <t>可重复监听</t>
  </si>
  <si>
    <t>需接入同一网络，具备抓包技能</t>
  </si>
  <si>
    <t>部分使用明文协议的设备</t>
  </si>
  <si>
    <t>明文协议问题公开</t>
  </si>
  <si>
    <t>TLS加密+网络隔离+IP白名单后，攻击者无法通过网络监听获取明文数据，危害降至“仅可能泄露系统细节”</t>
  </si>
  <si>
    <t>加密和隔离措施使攻击难以重复成功</t>
  </si>
  <si>
    <t>需突破网络隔离、绕过TLS加密和IP白名单，技能要求极高</t>
  </si>
  <si>
    <t>影响范围取决于部署环境的加固程度，部署完善的设备影响较低</t>
  </si>
  <si>
    <t>数据资产：
设备文件和参数
功能资产：EMU/Logger运维功能</t>
  </si>
  <si>
    <t>S, T</t>
  </si>
  <si>
    <t>攻击者可以直接构造虚假的遥测数据或遥控指令（如修改功率设定值）发送给Logger。</t>
  </si>
  <si>
    <t>攻击者→接入无验证网络→构造协议报文→无密码验证→Logger/EMU</t>
  </si>
  <si>
    <t>功率调节异常，设备误动作，可能危及电网</t>
  </si>
  <si>
    <t>北向通信没有机-机认证，可重复注入</t>
  </si>
  <si>
    <t>需接入网络，拥有协议构造能力</t>
  </si>
  <si>
    <t>部分使用无认证协议的设备</t>
  </si>
  <si>
    <t>工业协议无认证机制缺陷公开</t>
  </si>
  <si>
    <t>双向认证使攻击者无法冒充合法主站或从站，但仍可能通过内部人员或证书泄露造成危害，故降为中。</t>
  </si>
  <si>
    <t>认证机制使攻击无法重复成功；恶意报文被拒绝。</t>
  </si>
  <si>
    <t>需窃取有效客户端证书或预共享密钥，难度极高。</t>
  </si>
  <si>
    <t>所有使用这些协议的设备仍可能受配置或管理疏漏影响。</t>
  </si>
  <si>
    <t>认证机制隐藏了协议的访问入口，外部扫描无法发现可利用弱点。</t>
  </si>
  <si>
    <t>Annex I, Part I, 2(d)
Annex I, Part I, 2(f)</t>
  </si>
  <si>
    <t>数据资产：
固件、业务数据
安全资产：
MQTT通信凭证
功能资产：
EMU/Logger运维功能</t>
  </si>
  <si>
    <t>S,T,I,D,E， R</t>
  </si>
  <si>
    <t>攻击者通过漏洞攻陷阳光电源云平台，获得向Logger下发配置和固件的权限。然后批量向所有在线Logger推送恶意配置文件或伪造的固件升级包</t>
  </si>
  <si>
    <t>攻击者→攻陷阳光云平台→MQTT协议→恶意配置/固件→Logger/EMU</t>
  </si>
  <si>
    <t>阳光云被劫持后下发恶意固件，获得EMU管理权限</t>
  </si>
  <si>
    <t>平台攻陷不易重复</t>
  </si>
  <si>
    <t>需攻陷云平台，高级技能</t>
  </si>
  <si>
    <t>所有接入阳光云的设备</t>
  </si>
  <si>
    <t>云平台漏洞不公开</t>
  </si>
  <si>
    <t>固件签名校验阻止恶意固件安装；配置下发可能仍有效，但危害降低（需依赖本地确认）</t>
  </si>
  <si>
    <t>平台攻陷事件难以重复；签名校验使恶意固件推送无效。</t>
  </si>
  <si>
    <t>攻陷云平台仍需高级技能，不变</t>
  </si>
  <si>
    <t>所有开启云服务的设备可能受配置篡改影响，但固件攻击被阻断，影响范围缩小。</t>
  </si>
  <si>
    <t>云平台漏洞不易发现，不变。</t>
  </si>
  <si>
    <t>Annex I, Part I, 2(c)
Annex I, Part II, 4
Annex I, Part II, 5
Annex I, Part II, 6
Annex I, Part II, 7</t>
  </si>
  <si>
    <t>数据资产：
固件、配置文件和参数、用户密码
安全资产：证书、私钥、日志
功能资产：EMU/Logger运维功能</t>
  </si>
  <si>
    <t>S,T,I,D,E，R</t>
  </si>
  <si>
    <t>攻击者通过端口扫描识别服务版本，利用漏洞实现远程代码执行、权限提升或信息泄露，从而完全控制设备。</t>
  </si>
  <si>
    <t>攻击者→网络扫描→识别三方组件版本→利用已知漏洞→远程代码执行/提权</t>
  </si>
  <si>
    <t>管理员权限泄露、数据窃取、参数篡改</t>
  </si>
  <si>
    <t>漏洞利用需特定条件</t>
  </si>
  <si>
    <t>需知道具体漏洞利用方法</t>
  </si>
  <si>
    <t>涉及存在已知漏洞的设备</t>
  </si>
  <si>
    <t>识别到CVE漏洞后的攻击方式公开</t>
  </si>
  <si>
    <t>制造商建立漏洞管理机制并在交付前完成漏洞扫描，确保出厂时不存在已知可利用漏洞；持续的更新补丁机制可及时修复新漏洞，残余风险仅为极低概率的未公开0-day漏洞。</t>
  </si>
  <si>
    <t>漏洞一经发现并通过补丁修复，攻击者无法重复利用同一漏洞。</t>
  </si>
  <si>
    <t>即使制造商完善了漏洞管理，攻击者仍可能利用尚未被披露的0-day漏洞，此类漏洞的利用需要较高技能。</t>
  </si>
  <si>
    <t>所有设备均受益于漏洞管理，但若补丁未及时部署，部分设备仍可能受影响；影响范围适中。</t>
  </si>
  <si>
    <t>未公开的0-day漏洞难以被普通攻击者发现；制造商漏洞管理流程会主动识别并修复已知漏洞，减少暴露。</t>
  </si>
  <si>
    <t>Annex I, Part I, 2(a)
Annex I, Part I, 2(c)
Annex I, Part II, 1
Annex I, Part II, 2
Annex I, Part II, 4
Annex I, Part II, 7</t>
  </si>
  <si>
    <t>数据资产：固件
功能资产：参数设置和数据监控功能</t>
  </si>
  <si>
    <t>PLC、PID-ISO、IO板未提供真实性、完整性校验，攻击者修改本地PLC、PID-ISO固件包，调试人员在不知情时通过本地安装</t>
  </si>
  <si>
    <t>攻击者-升级包-EMU PLC/PID-ISO/IO板</t>
  </si>
  <si>
    <t>physical</t>
  </si>
  <si>
    <t>篡改升级包可导致设备安装恶意固件、功能异常、数据泄露或物理损坏。</t>
  </si>
  <si>
    <t>攻击者需要物理靠近设备传入被篡改的固件，如能突破物理防护则可重复攻击，但不能24小时连续攻击</t>
  </si>
  <si>
    <t>攻击需掌握电气安全、开锁、嵌入式烧录等深入知识和技能</t>
  </si>
  <si>
    <t>所有使用该被篡改升级包的EMU设备均受影响，范围取决于分发规模。</t>
  </si>
  <si>
    <t>本地更新接口非常规暴露项，需要硬件逆向或设计文档泄露才能定位，户外高压环境进一步降低了弱点暴露度。</t>
  </si>
  <si>
    <t>Mitegration</t>
  </si>
  <si>
    <t>签名校验可杜绝未授权篡改包被安装</t>
  </si>
  <si>
    <t>签名和防篡改，专用工具限制物理访问，攻击无法重复实施。</t>
  </si>
  <si>
    <t>需要突破签名算法、物理安全</t>
  </si>
  <si>
    <t>攻击难度大，用户受影响小</t>
  </si>
  <si>
    <t>保护机制为标准强安全措施，攻击路径难以发现。</t>
  </si>
  <si>
    <t>CRA Annex I-2(f)(h)</t>
  </si>
  <si>
    <t>PLC/PID-ISO/IO板未校验版本号，攻击者安装低版本升级包，利用已有漏洞攻击设备</t>
  </si>
  <si>
    <t>需要查找漏洞库定位已知漏洞，并分析PLC、PID、IO板固件确认具体版本</t>
  </si>
  <si>
    <t>版本号校验可杜绝低版本固件安装</t>
  </si>
  <si>
    <t>签名和HTTPS防篡改，专用工具限制物理访问，攻击无法重复实施。</t>
  </si>
  <si>
    <t>需要突破签名算法、HTTPS加密及物理安全</t>
  </si>
  <si>
    <t>CRA Annex I-2(c)(f)(h)</t>
  </si>
  <si>
    <t>功能资产：参数设置和数据监控功能</t>
  </si>
  <si>
    <t>Modbus-RTU数据在机柜内明文传输，攻击者物理靠近打开EMU外壳接触RS485传输线路，篡改传输数据，影响参数设置和数据监控功能</t>
  </si>
  <si>
    <t>攻击者-RS485传输-PLC/PID-ISO/IO板</t>
  </si>
  <si>
    <t>电控数据被操作可影响基本功能，但未取得完整最高权限</t>
  </si>
  <si>
    <t>一次成功后可重复篡改</t>
  </si>
  <si>
    <t>需要拥有篡改知识和物理开锁等手段</t>
  </si>
  <si>
    <t>所有明文传输的EMU设备都可受影响</t>
  </si>
  <si>
    <t>Modbus-RTU明文传输弱点公开</t>
  </si>
  <si>
    <t>1、物理环境限制：EMU机柜带锁和防拆封条[EMU实现]
2、电站环境限制：户外带监控电站[外部系统实现]
3、PLC、PID-ISO、IO板和Logger的数据合理性校验：校验数据在合理范围内，超出合理范围则拒绝和告警</t>
  </si>
  <si>
    <t>应用层校验和告警会在篡改发生时立即检测并报警，系统可拒绝执行错误指令，实际损害被限制在告警级别。</t>
  </si>
  <si>
    <t>物理接触极难，且篡改后会触发告警，攻击者无法重复而不被发现。</t>
  </si>
  <si>
    <t>需要物理访问 + 构造有效帧 + 同时绕过校验</t>
  </si>
  <si>
    <t>影响范围为下游设备，但告警能快速定位，实际影响有限。</t>
  </si>
  <si>
    <t>校验和机制、物理防护均难以发现弱点</t>
  </si>
  <si>
    <t>Modbus-RTU数据在机柜内明文传输，攻击者打开EMU外壳接触RS485传输线路，窃取传输数据</t>
  </si>
  <si>
    <t>电控、固件数据被窃取泄露可能被竞争对手分析发电效率、运维策略，或为更精准的攻击提供情报。</t>
  </si>
  <si>
    <t>1、物理环境限制：EMU机柜带锁和防拆封条[EMU实现]
2、电站环境限制：户外带监控电站[外部系统实现]
3、数据限制：不同厂商对Modbus-RTU数据层不同的字段代表的意义的设计均不同，需要重新解读数据内容</t>
  </si>
  <si>
    <t>运行时几乎无法物理接触；非运行时无数据。攻击难以重现，需大量准备时间。</t>
  </si>
  <si>
    <t>需要同时突破物理锁、高压危险、字段解读，极高难度。</t>
  </si>
  <si>
    <t>即使成功，影响也限于该电站部分数据，且无实际价值。</t>
  </si>
  <si>
    <t>数据字段意义、物理防护弱点均非公开信息，极难发现。</t>
  </si>
  <si>
    <t>CRA Annex I-2(e)</t>
  </si>
  <si>
    <t>T, D, E</t>
  </si>
  <si>
    <t>EMU未提供物理保护，未授权的攻击者通过物理靠近方式打开EMU外发起攻击</t>
  </si>
  <si>
    <t>攻击者-物理靠近机柜-机柜各个模块（Logger, 开关，交换机等）</t>
  </si>
  <si>
    <t>攻击者可完全控制核心部件，导致能源管理失控、设备损坏甚至安全事故，达到“取得系统最高权限”级别。</t>
  </si>
  <si>
    <t>只要攻击者能物理接触机柜，即可反复实施攻击，无需等待或特殊条件。</t>
  </si>
  <si>
    <t>需要物理接近并突破机柜防护（如锁具），具有一定技能要求，但非极高难度。</t>
  </si>
  <si>
    <t>所有依赖该EMU的设备或用户均受影响。</t>
  </si>
  <si>
    <t>物理弱点可通过现场勘查发现，但并非远程公开信息。</t>
  </si>
  <si>
    <t>攻击者难以靠近EMU</t>
  </si>
  <si>
    <t>T, D, R</t>
  </si>
  <si>
    <t>产品报废流程被绕过，因未按要求报废到期产品，攻击者通过废弃设备分析数据异常并发起攻击</t>
  </si>
  <si>
    <t>攻击者-未按要求报废的产品-物理靠近设备攻击</t>
  </si>
  <si>
    <t>老化设备存在大量未修复的已知漏洞（固件停止更新），攻击者可利用这些漏洞远程或本地执行任意代码，完全控制设备，操纵 PID-ISO 高压输出、篡改 ISO 检测值或瘫痪 MPLC 通信，导致组件损坏、火灾隐患或全场监控中断。符合“攻击者取得系统最高权限”的高危害标准。</t>
  </si>
  <si>
    <t>设备一旦进入超期服役状态，漏洞不会自行消失，硬件退化也无法逆转。攻击者可以毫不停歇地反复利用这些脆弱点，不需要等待任何时间窗口。</t>
  </si>
  <si>
    <t>超期设备已停止安全更新，厂商公开公告的 CVE 可能适用，攻击代码或扫描工具可能公开。但攻击者仍需要掌握一定的工控系统知识，并具有接入设备通信路径的能力（物理），因此符合“具有相关技能者可以发动攻击”。</t>
  </si>
  <si>
    <t>受影响的是所有未按规定报废的同批次 PLC/PID-ISO/IO模块，通常是一个电站内多台EMU内部的设备，属于“部分使用者（设备）”，不会波及全行业所有系统。</t>
  </si>
  <si>
    <t>设备超出使用寿命后，其硬件变化可能产生明显异常，而且厂商已终止技术服务，漏洞细节往往会公开。攻击者能轻易获得相关信息并找到攻击点，符合“公开资讯已揭露攻击手法及漏洞”。</t>
  </si>
  <si>
    <t>Avoidance</t>
  </si>
  <si>
    <t>设备到期退役，无法被攻击</t>
  </si>
  <si>
    <t>prEN 4000-1-2 7.10 Planning for secure decommissioning
CRA Annex I-2(m)</t>
  </si>
  <si>
    <t>安全资产：日志机制[Logger]
功能资产：参数设置和数据监控功能</t>
  </si>
  <si>
    <t>D, R</t>
  </si>
  <si>
    <t>攻击者-物理靠近设备-破坏设备攻击</t>
  </si>
  <si>
    <t>审计盲区导致安全事件无记录，丧失监控与溯源能力，但未直接造成系统最高权限丧失或敏感数据泄露。</t>
  </si>
  <si>
    <t>每次物理破坏需要开柜、剪线等操作，第一次突破物理限制后可多次重试，但不可能24小时连续攻击</t>
  </si>
  <si>
    <t>需要物理侵入机柜内部，具备电气知识和开锁/破坏封条技能，普通路人无法完成。</t>
  </si>
  <si>
    <t>一次攻击仅影响单台 EMU 内的 PLC/PID-ISO/IO板日志，属于部分设备。</t>
  </si>
  <si>
    <t>物理断线攻击手法并非秘密，但针对特定设备内部布线的信息需通过逆向或文档泄露获取，尚未广泛公开。</t>
  </si>
  <si>
    <t>Mitigration</t>
  </si>
  <si>
    <t>攻击后触发告警，减少危害</t>
  </si>
  <si>
    <t>日志机制修改未影响物理破坏操作</t>
  </si>
  <si>
    <t>需要的技能不变</t>
  </si>
  <si>
    <t>操作方式不变</t>
  </si>
  <si>
    <t>CRA Annex I-2(l)</t>
  </si>
  <si>
    <t>JTAG调试口在用户版本未关闭，攻击者物理靠近并打开EMU外壳发起攻击</t>
  </si>
  <si>
    <t>攻击者-物理靠近机柜-PLC、PID-ISO的调试接口</t>
  </si>
  <si>
    <t>攻击者可通过JTAG读取完整固件，注入恶意代码</t>
  </si>
  <si>
    <t>需要断电、开锁、取出设备、连接JTAG，第一次突破物理限制后可多次重试，但不可能24小时连续攻击</t>
  </si>
  <si>
    <t>需要高压电气安全、物理撬锁、JTAG连接技能</t>
  </si>
  <si>
    <t>单次攻击仅影响单台EMU，但所有EMU都有可能攻击</t>
  </si>
  <si>
    <t>普通人难以识别和利用该问题</t>
  </si>
  <si>
    <t>用户版本JTAG调试口被关闭，风险避免</t>
  </si>
  <si>
    <t>CRA Annex I-2(d)(e)(f)</t>
  </si>
  <si>
    <t>网络安全需求编号
Cybersecurity requirements ID</t>
  </si>
  <si>
    <t xml:space="preserve">网络安全需求
Cybersecurity requirements </t>
  </si>
  <si>
    <t>产品功能
Product function</t>
  </si>
  <si>
    <t>功能描述
Function description</t>
  </si>
  <si>
    <t>资产 
Asset Identification</t>
  </si>
  <si>
    <t xml:space="preserve">影响使用者
Affected users </t>
  </si>
  <si>
    <t>交换机的默认安全配置</t>
  </si>
  <si>
    <t>数据资产：
交换机配置文件和配置参数
交换机管理员账户密码
安全资产： 
日志
功能资产：
数据转发功能</t>
  </si>
  <si>
    <t>S,T,R,I,D,E</t>
  </si>
  <si>
    <t>BL-RF-1:
影响功能：交换机安全配置，不安全的默认配置（如HTTP、弱密码）易导致数据泄露、破坏以及管理员权限泄露等问题，影响交换机的安全
用户影响：影响交换机涉及的机密性、完整性、可用性、真实性、授权性、不可抵赖性</t>
  </si>
  <si>
    <t>交换机默认配置不安全，攻击者利用弱默认安全配置获取交换机敏感数据和管理员权限</t>
  </si>
  <si>
    <t>攻击者-交换机配置的弱点-交换机敏感数据/管理员权限</t>
  </si>
  <si>
    <t>network/physical</t>
  </si>
  <si>
    <t>攻击者可能通过弱点获取最高管理权限</t>
  </si>
  <si>
    <t>弱点未消解则可连续重复攻击</t>
  </si>
  <si>
    <t>默认密码等弱点不需要专业技能</t>
  </si>
  <si>
    <t>影响所有交换机</t>
  </si>
  <si>
    <t>弱点多为公开信息</t>
  </si>
  <si>
    <t>Avioidance
Mitigration</t>
  </si>
  <si>
    <t>保障EMU的机密性、完整性、真实性、可用性、授权性、不可抵赖性</t>
  </si>
  <si>
    <t>难以通过弱点进行攻击</t>
  </si>
  <si>
    <t>可重复尝试，但无法通过默认弱点攻击</t>
  </si>
  <si>
    <t>需要专业知识</t>
  </si>
  <si>
    <t>影响所在EMU和下属设备</t>
  </si>
  <si>
    <t>攻击方法不公开</t>
  </si>
  <si>
    <t>[DEFAULT-RQ-*]</t>
  </si>
  <si>
    <t>[DEFAULT-1-RQ-1-01]：只有在会使初始设置无法进行时，才能禁用标准中的安全要求，且必须在用户手册中明确说明。
[DEFAULT-1-RQ-1-02]：出厂状态下，仅启用产品初始设置所必需的网络接口和服务。
[DEFAULT-1-RQ-1-03]：在系统初始化过程中，只允许拥有特殊权限的账户进行访问。
[DEFAULT-1-RQ-1-04]：系统正常运行后，必须强制实行“最小权限”原则（即任何用户只能拥有完成其工作所必需的最小权限）。
[DEFAULT-1-RQ-1-05]：出厂状态下，所有可访问的账户和访问方法必须在用户手册中明确记录。
[DEFAULT-1-RQ-1-06]：所有远程诊断接口都必须受到身份认证和授权机制的保护。
[DEFAULT-1-RQ-1-07]：出厂状态下，必须强制用户在首次登录时更改默认的管理员凭证。
[DEFAULT-1-RQ-1-08]：出厂状态下，必须禁用所有调试和诊断接口（如JTAG、UART、SWD等）。
[DEFAULT-1-RQ-1-09]：出厂状态下，必须启用安全审计日志功能，记录身份验证、配置更改、产品错误等关键事件。
[DEFAULT-1-RQ-1-10]：出厂状态下，所有加密函数必须配置为使用符合当前最新标准的算法和密钥长度，禁用所有已知的弱加密算法。
[DEFAULT-1-RQ-1-11]：出厂状态下，必须禁用所有带有已知可利用漏洞的协议或服务。</t>
  </si>
  <si>
    <t>Annex I, Part I, (2)(b)</t>
  </si>
  <si>
    <t>Annex I, Part I, (2)(b): 除非制造商与企业用户就带有数字元素的定制产品（包括可将产品重置至原始状态）另有约定，否则必须以默认安全配置在市场上提供</t>
  </si>
  <si>
    <t>T, I, D, R</t>
  </si>
  <si>
    <t>BL-RF-2: 生命周期流转残留敏感数据
影响功能：退役交换机未正确擦除配置，新持有者通过恢复出厂设置不足或直接读取存储芯片获取先前配置，导致泄露网络拓扑、管理员密码哈希、密钥等敏感信息，可被用于攻击其他设备
用户影响：影响交换机数据的机密性、完整性、可用性、不可抵赖性</t>
  </si>
  <si>
    <t>由于安全退役流程不足或清除数据未完全，攻击者从退役设备中获取敏感数据，影响正在运行的设备安全</t>
  </si>
  <si>
    <t>攻击者-退役设备-获取敏感信息-攻击交换机系统</t>
  </si>
  <si>
    <t>攻击者可能通过残留数据获取管理员登录凭证以获取最高管理权限</t>
  </si>
  <si>
    <t>可连续重复攻击</t>
  </si>
  <si>
    <t>需要从退役设备中提取敏感信息</t>
  </si>
  <si>
    <t>提取敏感信息为公开知识</t>
  </si>
  <si>
    <t>Avoidance
Mitigration</t>
  </si>
  <si>
    <t>保障交换机的机密性、完整性、可用性、不可抵赖性</t>
  </si>
  <si>
    <t>1. 集成安全的重置功能
2. 确保重置功能不会删除已有的更新和安全补丁
3. 重置前需要再次身份认证
4. 重置需要删除所有用户数据和日志</t>
  </si>
  <si>
    <t>重置后攻击者无法通过退役设备获取信息</t>
  </si>
  <si>
    <t>安全重置后不会影响在运行的设备</t>
  </si>
  <si>
    <t>无法通过此方法获取数据</t>
  </si>
  <si>
    <t>[RESET-RQ-*]</t>
  </si>
  <si>
    <t>[RESET-1-RQ-1-01] 提供能将产品恢复至安全默认配置的恢复出厂设置机制。
[RESET-1-RQ-1-02] 恢复出厂设置后，保持当前已安装的固件版本和已应用的安全更新。
[RESET-1-RQ-1-03] 对通过软件、管理界面或远程命令发起的恢复出厂设置操作，进行最高级别的认证和授权。
[RESET-1-RQ-1-04] 恢复出厂设置成功后，不应保留任何可用于重建先前配置或损害用户隐私的信息。</t>
  </si>
  <si>
    <t>Annex I, Part I, (2)(m)</t>
  </si>
  <si>
    <t>Annex I, Part I, (2)(m): 为用户提供安全且轻松地永久删除所有数据和设置的可能性，并在这些数据可传输到其他产品或系统时，确保此过程安全。</t>
  </si>
  <si>
    <t>交换机数据转发功能</t>
  </si>
  <si>
    <t>交换机转发Logger和北向网管的数据</t>
  </si>
  <si>
    <t>功能资产：数据转发功能</t>
  </si>
  <si>
    <t>T, D</t>
  </si>
  <si>
    <t>BL-RF-3: 可用性破坏、DoS/DDoS 中断服务
影响功能：交换机的网络接口被发送大量畸形包，导致交换机CPU过载或崩溃
用户影响：影响交换机的完整性、可用性</t>
  </si>
  <si>
    <t>攻击者通过内网连接交换机，进行DoS攻击</t>
  </si>
  <si>
    <t>攻击者-DoS攻击-交换机</t>
  </si>
  <si>
    <t>network</t>
  </si>
  <si>
    <t>导致服务中断，但未获取最高权限</t>
  </si>
  <si>
    <t>可重复攻击，但需要内网靠近</t>
  </si>
  <si>
    <t>需要DoS攻击知识，且需要能物理靠近设备插网线</t>
  </si>
  <si>
    <t>影响EMU和下属设备</t>
  </si>
  <si>
    <t>无外部IP，需要物理靠近</t>
  </si>
  <si>
    <t>Aviodance</t>
  </si>
  <si>
    <t>保障交换机的完整性、可用性</t>
  </si>
  <si>
    <t>只能本地访问，减小DoS攻击</t>
  </si>
  <si>
    <t>攻击难以重复</t>
  </si>
  <si>
    <t>需要本地靠近设备</t>
  </si>
  <si>
    <t>影响设备不变</t>
  </si>
  <si>
    <t>难以通过DoS暴露风险</t>
  </si>
  <si>
    <t>[AVAIL-RQ-*]</t>
  </si>
  <si>
    <t>[AVAIL-1-RQ-1-1]	产品应采用适当技术（包括但不限于速率限制和连接限流）对支持的网路协议实现抗DoS能力
[AVAIL-1-RQ-1-2]	当DoS条件停止后，产品应自动恢复到正常操作状态，无需人工干预
[AVAIL-1-RQ-1-3]	产品应在检测到高资源利用率（如持续高CPU使用率、内存耗尽、高丢包率等）以及资源利用率恢复到制造商定义的正常水平时，生成审计事件
[AVAIL-1-RQ-1-4]	产品应将审计事件存储在持久性存储器中，确保复位后仍可访问</t>
  </si>
  <si>
    <t>Annex I, Part I, (2)(h)
Annex I, Part I, (2)(i)</t>
  </si>
  <si>
    <t>Annex I, Part I, (2)(h)：保护关键和基本功能的可用性，即使在事件发生后，也包括通过对拒绝服务攻击的韧性和缓解措施;
Annex I, Part I, (2)(i)：最大限度减少产品本身或互联设备对其他设备或网络服务可用性的负面影响;</t>
  </si>
  <si>
    <t>数据资产：交换机的配置文件和参数
功能资产：数据转发功能</t>
  </si>
  <si>
    <t>S, T, E</t>
  </si>
  <si>
    <t>攻击者篡改运行中的固件，导致仿冒、破坏或提权</t>
  </si>
  <si>
    <t>攻击者-篡改固件-上传至交换机</t>
  </si>
  <si>
    <t>固件被篡改可能获取最高权限</t>
  </si>
  <si>
    <t>固件被篡改后可连续重复攻击</t>
  </si>
  <si>
    <t>需要篡改固件的知识</t>
  </si>
  <si>
    <t>篡改固件知识公开</t>
  </si>
  <si>
    <t>保障交换机的完整性、真实性、授权性</t>
  </si>
  <si>
    <t>即便系统受损，也无法执行未经签名的恶意代码</t>
  </si>
  <si>
    <t>需要发现新漏洞</t>
  </si>
  <si>
    <t>需要极高专业知识绕过按防护</t>
  </si>
  <si>
    <t>[INTEGRITY-RQ-*]</t>
  </si>
  <si>
    <t>[INTEGRITY-1-RQ-1-01]产品应使用最佳实践加密方法对引导组件进行加密验证。
[INTEGRITY-1-RQ-1-02]产品应建立一个安全的引导链，其中（i）每个阶段在转移控制权之前验证下一阶段；（ii）初始引导加载程序是不可变的或受硬件保护的；（iii）验证失败会停止引导过程；以及（iv）在正常启动期间，只有经过验证的代码才能执行。
[INTEGRITY-1-RQ-1-03]产品应生成所有启动事件的审计事件，包括（i）带有时间戳的启动阶段进展；（ii）每个组件的验证，无论是成功还是失败；（iii）恢复模式激活；以及（iv）检测到的旁路尝试。
[INTEGRITY-1-RQ-1-04]产品应将审计事件存储在重置后仍然存在的持久存储器中。
[INTEGRITY-1-RQ-1-05]产品应通过在授予访问权限之前实施身份验证和授权来保护恢复和维护模式（如果存在）。</t>
  </si>
  <si>
    <t>Annex I, Part I, (2)(j)
Annex I, Part I, (2)(k)</t>
  </si>
  <si>
    <t>Annex I, Part I, (2)(j)：设计、开发和生产以限制攻击面，包括外部接口;
Annex I, Part I, (2)(k)：设计、开发和生产，以利用适当的利用缓解机制和技术来减少事件的影响</t>
  </si>
  <si>
    <t>BL-RF-5: 畸形包 / 异常包导致解析崩溃
影响功能：交换机没有输入校验时，接收畸形包/异常包可能导致设备崩溃或权限泄露
用户影响：影响交换机的机密性、完整性、真实性、可用性、授权性、不可抵赖性</t>
  </si>
  <si>
    <t>攻击者利用畸形包影响设备，导致注入恶意代码、设备内存泄露等问题</t>
  </si>
  <si>
    <t>攻击者-网口-发送畸形数据包至交换机</t>
  </si>
  <si>
    <t>畸形包可能被注入恶意代码或内存泄露，导致最高权限被获取</t>
  </si>
  <si>
    <t>找到注入点可连续重复攻击</t>
  </si>
  <si>
    <t>已有较成熟畸形包构造工具</t>
  </si>
  <si>
    <t>畸形包构造知识公开</t>
  </si>
  <si>
    <t>畸形包被丢弃，无法攻击</t>
  </si>
  <si>
    <t>攻击可重复尝试，但会被丢弃</t>
  </si>
  <si>
    <t>绕过丢弃机制需要专业知识</t>
  </si>
  <si>
    <t>需要专业知识绕过丢弃机制</t>
  </si>
  <si>
    <t>[PACKET-RQ-*]</t>
  </si>
  <si>
    <t>[PACKET-1-RQ-1-01]	产品应丢弃任何无法基于已实现的协议处理程序、转发规则或状态机确定适当处理动作的数据包。这包括：（i）具有无法识别的协议标识符或类型字段的数据包；（ii）具有无效或意外封装组合的数据包；（iii）需要超出产品已实现协议栈深度进行处理的数据包；（iv）标头字段值超出相关协议标准规定范围的数据包；（v）对于有状态协议，无法匹配现有连接状态的数据包；以及（vi）任何可能触发产品未定义行为的数据包
[PACKET-1-RQ-1-02]	产品不得尝试部分处理、尽力转发或对无法根据已实现的协议规范完全验证的数据包进行后备处理。当在任何协议层存在数据包处理不确定性时，应丢弃整个数据包，而不是在其他层进行处理</t>
  </si>
  <si>
    <t>交换机调试功能</t>
  </si>
  <si>
    <t>BL-RF-6: 调试口 / 冗余服务暴露攻击面
影响功能：交换机调试口如果默认开启，或者交换机开启了多余的管理口，可能导致接口被未授权使用导致数据、权限泄露
用户影响：影响交换机的机密性、完整性、真实性、可用性、授权性、不可抵赖性</t>
  </si>
  <si>
    <t>攻击者利用暴露的调试口进入调试页面，获取敏感资产，损害设备</t>
  </si>
  <si>
    <t>攻击者-调试口-交换机</t>
  </si>
  <si>
    <t>进入调试可获得最高权限</t>
  </si>
  <si>
    <t>调试口往往是物理连接，需要物理靠近，可重复攻击</t>
  </si>
  <si>
    <t>需要进入调试口知识</t>
  </si>
  <si>
    <t>进入调试口知识公开</t>
  </si>
  <si>
    <t>1. 产线版本禁用调试口或采用足够强度的安全机制保护
2. 管理接口使用，默认开启最小功能接口</t>
  </si>
  <si>
    <t>调试口默认禁用，无法攻击</t>
  </si>
  <si>
    <t>攻击无法重复</t>
  </si>
  <si>
    <t>强行开启调试口需要专业知识</t>
  </si>
  <si>
    <t>影响交换机设备</t>
  </si>
  <si>
    <t>[EXPOSURE-RQ-*]</t>
  </si>
  <si>
    <t>[EXPOSURE-1-RQ-1-01] 产品的默认配置中，应禁用所有非预期功能必需的接口和服务，包括但不限于：(i) 调试接口，如JTAG、UART和SWD（除非有物理安全保护）；(ii) 未使用的网络协议和服务；(iii) 正常操作不需要的测试模式和诊断功能；(iv) 仅为向后兼容而保留、当前并未主动使用的旧版协议；(v) 任何超出明确记录供用户访问的管理接口。
[EXPOSURE-1-RQ-1-02] 产品应提供通过配置选择性地启用或禁用单个服务和接口的能力。</t>
  </si>
  <si>
    <t>日志功能</t>
  </si>
  <si>
    <t>S, T, R, D</t>
  </si>
  <si>
    <t>BL-RF-7: 无审计日志，攻击不可追溯
影响功能：交换机如果没有日志功能，会导致攻击无法追溯
用户影响：影响交换机的真实性、完整性、可用性、不可抵赖性</t>
  </si>
  <si>
    <t>攻击交换机后无审计日志，攻击无法追溯</t>
  </si>
  <si>
    <t>攻击者-交换机</t>
  </si>
  <si>
    <t>不会获取最高权限，但影响设备运行</t>
  </si>
  <si>
    <t>弱点可被反复利用</t>
  </si>
  <si>
    <t>不需要相关知识</t>
  </si>
  <si>
    <t>相关知识公开</t>
  </si>
  <si>
    <t>保障EMU的完整性、真实性、可用性、不可抵赖性</t>
  </si>
  <si>
    <t>1. 交换机启用全面的审计日志
2. 确保审计日志持久存储
3. 保护日志完整性
4. 远程日志集中存储
5. 实时日志监控与告警</t>
  </si>
  <si>
    <t>攻击可溯源</t>
  </si>
  <si>
    <t>攻击需要花费更多时间篡改日志</t>
  </si>
  <si>
    <t>攻击需要更多专业技能</t>
  </si>
  <si>
    <t>日志功能一般不对外暴露</t>
  </si>
  <si>
    <t>[LOG-RQ-*]</t>
  </si>
  <si>
    <t>[LOG-1-RQ-1-01]	产品应生成认证活动的审计事件，包括成功/失败的认证、账户锁定/解锁、凭证更改尝试
[LOG-1-RQ-1-02]	产品应生成会话生命周期活动的审计事件，包括会话建立（含源详情）、会话终止（含原因）、会话验证失败及并发会话限制违规
[LOG-1-RQ-2-03]	产品应实现命令授权，记录未授权命令的审计事件
[LOG-1-RQ-2-04]	产品应将审计事件存储在持久性存储器中，确保复位后不丢失</t>
  </si>
  <si>
    <t>nnex I, Part I, (2)(l)</t>
  </si>
  <si>
    <t>Annex I, Part I, (2)(l): 通过记录和监控相关内部活动（包括访问或修改数据、服务或功能）来提供安全相关信息，并为用户提供退出机制;</t>
  </si>
  <si>
    <t>交换机的本地配置</t>
  </si>
  <si>
    <t>交换机的本地配置功能</t>
  </si>
  <si>
    <t>MA-RF-1: 物理接触可绕过网络安全，直接操控设备
影响功能：交换机物理接入时如果没有访问控制机制，会导致未授权访问交换机敏感数据，引发提权、数据泄露等问题
用户影响：影响交换机的机密性、完整性、真实性、可用性、授权性、不可抵赖性</t>
  </si>
  <si>
    <t>攻击者物理接触设备，直接操控设备</t>
  </si>
  <si>
    <t>攻击者-物理靠近设备-操控设备</t>
  </si>
  <si>
    <t>物理靠近设备可获得最高权限</t>
  </si>
  <si>
    <t>可重复进行，但需要重新获得物理访问机会</t>
  </si>
  <si>
    <t>需要一定技能</t>
  </si>
  <si>
    <t>物理攻击方法公开</t>
  </si>
  <si>
    <t>攻击者难以靠近设备以获得最高权限</t>
  </si>
  <si>
    <t>[AUTH-1-RQ-*], [AUTH-2-RQ-*],
[LOG-RQ-*]</t>
  </si>
  <si>
    <t>[AUTH-1] Authentication
[AUTH-1-RQ-1-01]产品应实施用户认证机制。
[AUTH-1-RQ-1-02]该产品应通过以下方式删除共享的默认凭证：（i）在安全生产期间生成唯一凭证；或（ii）在初始安装期间强制创建强制性证书。
[Auth-1-RQ-1-03]该产品应确保认证证书仅通过提供最佳做法加密保护的渠道传输。所有认证交换所应（i）使用使用最佳做法加密提供保密和完整性保护的安全通信渠道；和（二）实施最佳做法机制，防止即使在未加密的渠道上泄露秘密。
[Auth-1-RQ-1-04]该产品应使用最佳做法加密方法存储秘密。
[Auth-1-RQ-1-05]该产品应通过字符复杂性和最小长度要求来执行证书熵。
[Auth-1-RQ-1-06]该产品应实施身份验证失败保护，包括但不限于：（i）失败尝试之间的逐步延迟，以及（ii）在一定数量的失败尝试后暂时关闭帐户。
[Auth-1-RQ-1-07]该产品应保持以前使用的密码的历史，以其处理的形式，以防止重复使用。必须保留的先前密码最少为一个。根据对产品暴露风险的评估，制造商可酌情增加这一违约。密码更改应在接受前根据这一历史进行验证。
注：根据[AUTH-1-RQ-1-04]，历史密码与当前凭证的存储安全要求相同。
[AUTH-2] Authorization
[AUTH-2-RQ-1-01]该产品应实施特权分离机制，要求用户在授予行政访问之前进行身份验证。
[AUTH-2-RQ-1-02]该产品不允许任何用户在其授权特权级别之外执行操作。
[Auth-2-RQ-1-03]该产品应一致对所有管理接口实施访问控制，防止通过替代接口进行特权升级。
[AUTH-2-RQ-1-04]产品应执行命令授权，该授权在执行前根据授权的特权级别验证每个命令。
Monitoring and Logging
[LOG-1-RQ-1-01]该产品应为认证活动生成审核事件，包括但不限于：（i）认证成功或失败；（二）账户锁定触发和释放；和（三）认证证书更改尝试。
[LOG-1-RQ-1-02]该产品应为所有会话生命周期活动生成审核事件，包括（i）带有源详细信息的会话建立；（二）有理由终止会议；（三）会话验证尝试失败；和（四）并发会议限制违规行为。
[LOG-1-RQ-2-03]产品应执行命令授权，该授权创建未经授权命令的审核事件。
[LOG-1-RQ-2-04]该产品应将审核事件存储在生存重置的持久内存中。</t>
  </si>
  <si>
    <t>Annex I, Part I, (2)(d)
Annex I, Part I, (2)(l)</t>
  </si>
  <si>
    <t>Annex I, Part I, (2)(d): 通过适当的控制机制（包括但不限于身份验证、身份或访问管理系统）确保防止未经授权访问，并报告可能的未经授权访问;
Annex I, Part I, (2)(l): 通过记录和监控相关内部活动（包括访问或修改数据、服务或功能）来提供安全相关信息，并为用户提供退出机制;</t>
  </si>
  <si>
    <t>MA-RF-2: 同网段本地网络被攻陷，横向移动
影响功能：如果交换机支持本地多点通信，同网段本地网络被攻陷会导致未授权访问交换机敏感数据，引发提权、数据泄露等问题
用户影响：影响交换机的机密性、完整性、真实性、可用性、授权性、不可抵赖性</t>
  </si>
  <si>
    <t>风险预期场景：攻击者通过公网访问交换机管理页面</t>
  </si>
  <si>
    <t>攻击者-本地网段-操控设备</t>
  </si>
  <si>
    <t>攻击者可获得交换机最高管理权限，进而篡改VLAN、禁用端口、转发数据，影响整个EMU系统。</t>
  </si>
  <si>
    <t>可重复进行</t>
  </si>
  <si>
    <t>通过端口扫描等方式攻击，方法公开</t>
  </si>
  <si>
    <t>攻击者难以获得最高权限</t>
  </si>
  <si>
    <t>[AUTH-1-RQ-*], [AUTH-3-RQ-*], [PACKET-RQ-*], [EXPOSURE-RQ-*]</t>
  </si>
  <si>
    <t>[AUTH-1] Authentication
[AUTH-1-RQ-1-01]产品应实施用户认证机制。
[AUTH-1-RQ-1-02]该产品应通过以下方式删除共享的默认凭证：（i）在安全生产期间生成唯一凭证；或（ii）在初始安装期间强制创建强制性证书。
[Auth-1-RQ-1-03]该产品应确保认证证书仅通过提供最佳做法加密保护的渠道传输。所有认证交换所应（i）使用使用最佳做法加密提供保密和完整性保护的安全通信渠道；和（二）实施最佳做法机制，防止即使在未加密的渠道上泄露秘密。
[Auth-1-RQ-1-04]该产品应使用最佳做法加密方法存储秘密。
[Auth-1-RQ-1-05]该产品应通过字符复杂性和最小长度要求来执行证书熵。
[Auth-1-RQ-1-06]该产品应实施身份验证失败保护，包括但不限于：（i）失败尝试之间的逐步延迟，以及（ii）在一定数量的失败尝试后暂时关闭帐户。
[Auth-1-RQ-1-07]该产品应保持以前使用的密码的历史，以其处理的形式，以防止重复使用。必须保留的先前密码最少为一个。根据对产品暴露风险的评估，制造商可酌情增加这一违约。密码更改应在接受前根据这一历史进行验证。
注：根据[AUTH-1-RQ-1-04]，历史密码与当前凭证的存储安全要求相同。
[AUTH-3] 会话生命周期
[AUTH-3-RQ-1-01]：生成安全、不可预测的会话标识符
[AUTH-3-RQ-1-02]：实施会话超时机制，具有可配置的空闲超时值和合适的默认值
[AUTH-3-RQ-1-03]：在用户注销、超时、凭证变更时立即终止会话，并清除会话数据
[AUTH-3-RQ-1-04]：通过加密传输等方式保护会话标识符，且不将其记录在日志、URL或错误信息中
[AUTH-3-RQ-1-05]：在登录、提权等关键操作后，强制生成新的会话标识符
[AUTH-3-RQ-1-06]：限制每个用户账户的并发会话数量
[AUTH-3-RQ-1-07]：会话安全应能检测权限提升尝试
[PACKET] 默认数据包处置
[PACKET-1-RQ-1-01]：对于无法处理的数据包，应直接丢弃
[PACKET-1-RQ-1-02]：不应尝试对无法验证的数据包进行部分处理或尽力转发
[EXPOSURE] 最小化暴露面
[EXPOSURE-1-RQ-1-01]：默认配置中，禁用非必要的接口和服务
[EXPOSURE-1-RQ-1-02]：提供能力，允许管理员选择性启用/禁用各服务和接口</t>
  </si>
  <si>
    <t>Annex I, Part I, (2)(d)
Annex I, Part I, (2)(j)
Annex I, Part I, (2)(k)</t>
  </si>
  <si>
    <t>Annex I, Part I, (2)(d): 通过适当的控制机制（包括但不限于身份验证、身份或访问管理系统）确保防止未经授权访问，并报告可能的未经授权访问;
Annex I, Part I, (2)(j): 设计、开发和生产以限制攻击面，包括外部接口
Annex I, Part I, (2)(k):设计、开发和生产，以利用适当的利用缓解机制和技术来减少事件的影响</t>
  </si>
  <si>
    <t>MA-RF-3: 内网路由可达，管理口可被横向访问
影响功能：如果内网路由能访问交换机管理页面，可能会导致未授权访问交换机敏感数据，引发提权、数据泄露等问题
用户影响：影响交换机的机密性、完整性、真实性、可用性、授权性、不可抵赖性</t>
  </si>
  <si>
    <t>攻击者-跨路由攻击-操控设备</t>
  </si>
  <si>
    <t>攻击者可获得交换机最高管理权限</t>
  </si>
  <si>
    <t>通过外网访问管理页面的资料公开</t>
  </si>
  <si>
    <t>攻击方式公开</t>
  </si>
  <si>
    <t>不可排除
评估时需要确认本地网段其他设备能否访问到交换机IP</t>
  </si>
  <si>
    <t>管理页面只能通过本地连接访问</t>
  </si>
  <si>
    <t>管理页面无法通过外网访问</t>
  </si>
  <si>
    <t>[AUTH-1-RQ-*], [AUTH-3-RQ-*],
[DATA-1-RQ-*]</t>
  </si>
  <si>
    <t>[AUTH-1] Authentication
[AUTH-1-RQ-1-01]产品应实施用户认证机制。
[AUTH-1-RQ-1-02]该产品应通过以下方式删除共享的默认凭证：（i）在安全生产期间生成唯一凭证；或（ii）在初始安装期间强制创建强制性证书。
[Auth-1-RQ-1-03]该产品应确保认证证书仅通过提供最佳做法加密保护的渠道传输。所有认证交换所应（i）使用使用最佳做法加密提供保密和完整性保护的安全通信渠道；和（二）实施最佳做法机制，防止即使在未加密的渠道上泄露秘密。
[Auth-1-RQ-1-04]该产品应使用最佳做法加密方法存储秘密。
[Auth-1-RQ-1-05]该产品应通过字符复杂性和最小长度要求来执行证书熵。
[Auth-1-RQ-1-06]该产品应实施身份验证失败保护，包括但不限于：（i）失败尝试之间的逐步延迟，以及（ii）在一定数量的失败尝试后暂时关闭帐户。
[Auth-1-RQ-1-07]该产品应保持以前使用的密码的历史，以其处理的形式，以防止重复使用。必须保留的先前密码最少为一个。根据对产品暴露风险的评估，制造商可酌情增加这一违约。密码更改应在接受前根据这一历史进行验证。
注：根据[AUTH-1-RQ-1-04]，历史密码与当前凭证的存储安全要求相同。
[AUTH-3] 会话生命周期
[AUTH-3-RQ-1-01]：生成安全、不可预测的会话标识符
[AUTH-3-RQ-1-02]：实施会话超时机制，具有可配置的空闲超时值和合适的默认值
[AUTH-3-RQ-1-03]：在用户注销、超时、凭证变更时立即终止会话，并清除会话数据
[AUTH-3-RQ-1-04]：通过加密传输等方式保护会话标识符，且不将其记录在日志、URL或错误信息中
[AUTH-3-RQ-1-05]：在登录、提权等关键操作后，强制生成新的会话标识符
[AUTH-3-RQ-1-06]：限制每个用户账户的并发会话数量
[AUTH-3-RQ-1-07]：会话安全应能检测权限提升尝试
[DATA]数据保护
[DATA-1-RQ-1-1]	产品应实施数据保护措施，确保所有敏感数据（包括密码、应用层加密密钥、用户凭证）在使用最佳实践加密算法的情况下加密存储（at rest）。
[DATA-1-RQ-1-2]	产品应实施数据保护措施，确保所有管理通信使用加密通道，通过最佳实践密码技术提供机密性和完整性保护。
[DATA-1-RQ-1-3]	产品应实施数据保护措施，确保配置文件和固件映像受到保护，防止未经授权的修改。
[DATA-1-RQ-1-4]	产品应实施数据保护措施，确保产品仅处理并保留其预期路由、交换或调制解调器功能所需的最少数据。任何超出预期用途的诊断或遥测数据采集都需要用户明确选择启用，且此类采集在默认状态下应被禁用。</t>
  </si>
  <si>
    <t>Annex I, Part I, (2)(d)
Annex I, Part I, (2)(e)
Annex I, Part I, (2)(f)
Annex I, Part I, (2)(g)</t>
  </si>
  <si>
    <t>Annex I, Part I, (2)(d): 通过适当的控制机制（包括但不限于身份验证、身份或访问管理系统）确保防止未经授权访问，并报告可能的未经授权访问;
Annex I, Part I, (2)(e):保护存储、传输或其他处理数据的机密性，无论是个人还是其他，例如通过最先进机制加密静态或传输中的相关数据，以及使用其他技术手段;
Annex I, Part I, (2)(f):保护存储、传输或其他处理数据（个人或其他）、命令、程序及配置的完整性，防止未经用户授权的任何操作或修改，并报告损坏情况;
Annex I, Part I, (2)(g):仅处理足够、相关且仅限于与产品预期目的相关的数据，包括个人或其他数据（数据最小化）;</t>
  </si>
  <si>
    <t>数据资产：
交换机配置文件和配置参数
安全资产： 
交换机管理员账户密码
交换机安全配置参数
日志
功能资产：
数据转发功能</t>
  </si>
  <si>
    <t>MA-RF-4:管理口暴露公网，全球扫描攻击
影响功能：如果外网能访问交换机管理页面，可能会导致未授权访问交换机敏感数据，引发提权、数据泄露等问题
用户影响：影响交换机的机密性、完整性、真实性、可用性、授权性、不可抵赖性</t>
  </si>
  <si>
    <t>攻击者-公网-交换机管理页面</t>
  </si>
  <si>
    <t>不可排除
评估时需要确认外网其他设备能否访问到交换机IP</t>
  </si>
  <si>
    <t>[AUTH-1-RQ-*], [UPDATE-RQ-*], [INTEGRITY-RQ-*], [AVAIL-RQ-*]</t>
  </si>
  <si>
    <t>[AUTH-1] Authentication
[AUTH-1-RQ-1-01]产品应实施用户认证机制。
[AUTH-1-RQ-1-02]该产品应通过以下方式删除共享的默认凭证：（i）在安全生产期间生成唯一凭证；或（ii）在初始安装期间强制创建强制性证书。
[Auth-1-RQ-1-03]该产品应确保认证证书仅通过提供最佳做法加密保护的渠道传输。所有认证交换所应（i）使用使用最佳做法加密提供保密和完整性保护的安全通信渠道；和（二）实施最佳做法机制，防止即使在未加密的渠道上泄露秘密。
[Auth-1-RQ-1-04]该产品应使用最佳做法加密方法存储秘密。
[Auth-1-RQ-1-05]该产品应通过字符复杂性和最小长度要求来执行证书熵。
[Auth-1-RQ-1-06]该产品应实施身份验证失败保护，包括但不限于：（i）失败尝试之间的逐步延迟，以及（ii）在一定数量的失败尝试后暂时关闭帐户。
[Auth-1-RQ-1-07]该产品应保持以前使用的密码的历史，以其处理的形式，以防止重复使用。必须保留的先前密码最少为一个。根据对产品暴露风险的评估，制造商可酌情增加这一违约。密码更改应在接受前根据这一历史进行验证。
注：根据[AUTH-1-RQ-1-04]，历史密码与当前凭证的存储安全要求相同。
[UPDATE]安全更新
[UPDATE-1-RQ-1-01]	产品应提供在整个定义的支持期内接收和安装补救措施的机制。
[UPDATE-1-RQ-1-02]	产品应确保更新机制是自动化的，并默认激活。
[UPDATE-1-RQ-1-03]	产品应确保更新机制依赖于用户配置，并按照用户配置自动运行。
[UPDATE-1-RQ-1-04]	产品应实施保护，防止未经授权和未认证的补救措施安装。
[UPDATE-1-RQ-1-05]	产品应实施补救措施的加密验证，以确保真实性和完整性。
[UPDATE-1-RQ-1-06]	制造商应确保任何更新维持或改进产品的安全属性。
[UPDATE-1-RQ-1-07]	产品应为所有更新活动生成审计事件，包括：（i）补救措施的可用性；（ii）下载的启动和完成；（iii）安装的成功或失败。
[UPDATE-1-RQ-1-08]	产品应将审计事件存储在复位后仍然存在的持久性存储器中。
[INTEGRITY]完整性
[INTEGRITY-1-RQ-1-01]产品应使用最佳实践加密方法对引导组件进行加密验证。
[INTEGRITY-1-RQ-1-02]产品应建立一个安全的引导链，其中（i）每个阶段在转移控制权之前验证下一阶段；（ii）初始引导加载程序是不可变的或受硬件保护的；（iii）验证失败会停止引导过程；以及（iv）在正常启动期间，只有经过验证的代码才能执行。
[INTEGRITY-1-RQ-1-03]产品应生成所有启动事件的审计事件，包括（i）带有时间戳的启动阶段进展；（ii）每个组件的验证，无论是成功还是失败；（iii）恢复模式激活；以及（iv）检测到的旁路尝试。
[INTEGRITY-1-RQ-1-04]产品应将审计事件存储在重置后仍然存在的持久存储器中。
[INTEGRITY-1-RQ-1-05]产品应通过在授予访问权限之前实施身份验证和授权来保护恢复和维护模式（如果存在）。
[AVAIL]可用性
[AVAIL-1-RQ-1-1]	产品应采用适当技术（包括但不限于速率限制和连接限流）对支持的网路协议实现抗DoS能力
[AVAIL-1-RQ-1-2]	当DoS条件停止后，产品应自动恢复到正常操作状态，无需人工干预
[AVAIL-1-RQ-1-3]	产品应在检测到高资源利用率（如持续高CPU使用率、内存耗尽、高丢包率等）以及资源利用率恢复到制造商定义的正常水平时，生成审计事件
[AVAIL-1-RQ-1-4]	产品应将审计事件存储在持久性存储器中，确保复位后仍可访问</t>
  </si>
  <si>
    <t>Annex I, Part I, (2)(c)
Annex I, Part I, (2)(d)
Annex I, Part I, (2)(h)
Annex I, Part I, (2)(i)
Annex I, Part I, (2)(j)
Annex I, Part I, (2)(k)</t>
  </si>
  <si>
    <t>Annex I, Part I, (2)(c)确保漏洞可以通过安全更新解决，包括在适当时间内安装的自动安全更新，这些更新已作为默认设置启用，配备清晰易用的退出机制，通过通知用户可用更新以及暂时推迟的选项;
Annex I, Part I, (2)(d): 通过适当的控制机制（包括但不限于身份验证、身份或访问管理系统）确保防止未经授权访问，并报告可能的未经授权访问;
Annex I, Part I, (2)(h)：保护关键和基本功能的可用性，即使在事件发生后，也包括通过对拒绝服务攻击的韧性和缓解措施;
Annex I, Part I, (2)(i)：最大限度减少产品本身或互联设备对其他设备或网络服务可用性的负面影响;
Annex I, Part I, (2)(j)：设计、开发和生产以限制攻击面，包括外部接口;
Annex I, Part I, (2)(k)：设计、开发和生产，以利用适当的利用缓解机制和技术来减少事件的影响</t>
  </si>
  <si>
    <t>交换机的安全配置功能</t>
  </si>
  <si>
    <t>MO-RF-1：人工管理、补丁延迟、配置不一致
影响功能：如果交换机仅支持本地管理，可能因为缺少集中管理和审计引发未及时安装关键安全补丁、多台设备间配置不一致、手动操作失误导致访问控制策略被错误放宽等问题，导致交换机弱点被利用引发提设备网络转发功能被破坏等问题
用户影响：影响交换机的完整性、可用性和不可抵赖性</t>
  </si>
  <si>
    <t>攻击者物理接触设备，发现该设备的网络设置、版本等存在漏洞，利用发现的漏洞进行攻击</t>
  </si>
  <si>
    <t>攻击者-物理靠近设备-交换机</t>
  </si>
  <si>
    <t>人工管理漏洞可能导致攻击者获取所有权限</t>
  </si>
  <si>
    <t>需要先开锁再物理访问，可重复但不可连续</t>
  </si>
  <si>
    <t>需要同时掌握开机柜锁、应对高电压、掌握交换机手动配置缺陷的技能</t>
  </si>
  <si>
    <t>影响单台或数台交换机及EMU</t>
  </si>
  <si>
    <t>手动管理配置的弱点无法从外部扫描发现</t>
  </si>
  <si>
    <t>保障交换机的完整性、可用性、不可抵赖性</t>
  </si>
  <si>
    <t>1. 提供安全更新方案：及时为客户提供交换机最新版本更新包
2. 固件更新时的真实性、完整性校验
3. 安全基线固化：交换机出厂时已按安全基线配置完成，现场仅执行最小必要参数调整（如管理IP）。
4. 交换机满足最小权限要求
5. 日志审计功能</t>
  </si>
  <si>
    <t>攻击成功的危害性不变</t>
  </si>
  <si>
    <t>安全措施配置后难以重复攻击</t>
  </si>
  <si>
    <t>已是最低分，不变</t>
  </si>
  <si>
    <t>涉及设备不变</t>
  </si>
  <si>
    <t>攻击需要知识不变且获取更难</t>
  </si>
  <si>
    <t>[UPDATE-RQ-*],
[DEFAULT-RQ-*],
[LOG-RQ-*]</t>
  </si>
  <si>
    <t>[UPDATE-1-RQ-1-01]	产品应提供在整个定义的支持期内接收和安装补救措施的机制
[UPDATE-1-RQ-1-02]	产品应确保更新机制是自动化的，并默认激活
[UPDATE-1-RQ-1-03]	产品应确保更新机制依赖于用户配置，并按照用户配置自动运行
[UPDATE-1-RQ-1-04]	产品应实施保护，防止未经授权和未认证的补救措施安装
[UPDATE-1-RQ-1-05]	产品应实施补救措施的加密验证，以确保真实性和完整性
[UPDATE-1-RQ-1-06]	制造商应确保任何更新维持或改进产品的安全属性
[UPDATE-1-RQ-1-07]	产品应为所有更新活动生成审计事件
[UPDATE-1-RQ-1-08]	产品应将审计事件存储在复位后仍然存在的持久性存储器中
[DEFAULT-1-RQ-1-01]：只有在会使初始设置无法进行时，才能禁用标准中的安全要求，且必须在用户手册中明确说明。
[DEFAULT-1-RQ-1-02]：出厂状态下，仅启用产品初始设置所必需的网络接口和服务。
[DEFAULT-1-RQ-1-03]：在系统初始化过程中，只允许拥有特殊权限的账户进行访问。
[DEFAULT-1-RQ-1-04]：系统正常运行后，必须强制实行“最小权限”原则（即任何用户只能拥有完成其工作所必需的最小权限）。
[DEFAULT-1-RQ-1-05]：出厂状态下，所有可访问的账户和访问方法必须在用户手册中明确记录。
[DEFAULT-1-RQ-1-06]：所有远程诊断接口都必须受到身份认证和授权机制的保护。
[DEFAULT-1-RQ-1-07]：出厂状态下，必须强制用户在首次登录时更改默认的管理员凭证。
[DEFAULT-1-RQ-1-08]：出厂状态下，必须禁用所有调试和诊断接口（如JTAG、UART、SWD等）。
[DEFAULT-1-RQ-1-09]：出厂状态下，必须启用安全审计日志功能，记录身份验证、配置更改、产品错误等关键事件。
[DEFAULT-1-RQ-1-10]：出厂状态下，所有加密函数必须配置为使用符合当前最新标准的算法和密钥长度，禁用所有已知的弱加密算法。
[DEFAULT-1-RQ-1-11]：出厂状态下，必须禁用所有带有已知可利用漏洞的协议或服务。
[LOG-1-RQ-1-01]该产品应为认证活动生成审核事件，包括但不限于：（i）认证成功或失败；（二）账户锁定触发和释放；和（三）认证证书更改尝试。
[LOG-1-RQ-1-02]该产品应为所有会话生命周期活动生成审核事件，包括（i）带有源详细信息的会话建立；（二）有理由终止会议；（三）会话验证尝试失败；和（四）并发会议限制违规行为。
[LOG-1-RQ-2-03]产品应执行命令授权，该授权创建未经授权命令的审核事件。
[LOG-1-RQ-2-04]该产品应将审核事件存储在生存重置的持久内存中。</t>
  </si>
  <si>
    <t>Annex I, Part I, (2)(b)
Annex I, Part I, (2)(c)
Annex I, Part I, (2)(l)</t>
  </si>
  <si>
    <t>Annex I, Part I, (2)(b): 除非制造商与企业用户就带有数字元素的定制产品（包括可将产品重置至原始状态）另有约定，否则必须以默认安全配置在市场上提供
Annex I, Part I, (2)(c)确保漏洞可以通过安全更新解决，包括在适当时间内安装的自动安全更新，这些更新已作为默认设置启用，配备清晰易用的退出机制，通过通知用户可用更新以及暂时推迟的选项;
Annex I, Part I, (2)(l): 通过记录和监控相关内部活动（包括访问或修改数据、服务或功能）来提供安全相关信息，并为用户提供退出机制;</t>
  </si>
  <si>
    <t>I, T, D</t>
  </si>
  <si>
    <t>MO-RF-2：集中管理平台被攻陷，批量控制
影响功能：如果交换机支持由北向网管访问管理页面，当北向网管被攻陷时，交换机会因为敏感信息泄露导致管理页面被开放，导致信息泄露、设备损害等问题
用户影响：影响交换机的机密性、完整性和可用性</t>
  </si>
  <si>
    <t>攻击者攻陷北向网管后通过北向网管远程访问交换机管理页面进行攻击</t>
  </si>
  <si>
    <t>攻击者-北向网管-远程访问-交换机</t>
  </si>
  <si>
    <t>N/A</t>
  </si>
  <si>
    <t>交换机不支持北向网管访问，该风险不适用</t>
  </si>
  <si>
    <t>交换机仅支持本地联网，没有可访问交换机的北向网管平台</t>
  </si>
  <si>
    <t>[AUTH-4-RQ-*], [TRANSFER-RQ-*], [LOG-RQ-*]</t>
  </si>
  <si>
    <t>[AUTH-4-RQ-1-01]	当存在任何风险因素 [PI-RF-1] 至 [PI-RF-5] 时，产品对启用、禁用或配置这些协议的任何管理操作均要求认证和授权。控制协议行为的管理接口必须受到保护，无论协议本身是否支持认证
[AUTH-4-RQ-1-02]	当存在风险因素 [PI-RF-1]（明文凭证）时，产品应提供安全的替代协议与明文管理协议并存，并在使用明文协议时生成警告。
[AUTH-4-RQ-1-03]	当存在风险因素 [PI-RF-2]（未认证请求处理）时，产品应对未认证的协议请求实施速率限制和源验证（如果可能），以缓解欺骗和注入攻击。
[AUTH-4-RQ-1-04]	当存在风险因素 [PI-RF-3]（信息泄露）时，产品应提供配置选项以禁用或限制通过诊断协议泄露信息。
[AUTH-4-RQ-1-05]	当存在风险因素 [PI-RF-4]（弱密码利用）时，制造商应记录所有密码算法，并提供配置选项以在操作可行时禁用弱协议版本。
[AUTH-4-RQ-1-06]	当存在风险因素 [PI-RF-5]（未验证的信任建立）时，产品应对信任建立实施额外的验证机制，并为所有信任关系变更提供审计日志。
[TRANSFER-1-RQ-1-01]	产品应支持安全数据导出，允许用户通过加密通道传输导出的数据。
[TRANSFER-1-RQ-1-02]	产品应支持安全数据导入，允许用户通过加密通道将数据导入产品。
[TRANSFER-1-RQ-1-03]	产品应提供使用最佳实践加密算法加密导出数据的能力，加密基于用户在导出时的偏好选择应用。
[TRANSFER-1-RQ-1-04]	产品要求管理权限才能执行导出操作。
[TRANSFER-1-RQ-1-05]	产品要求管理权限才能执行导入操作。
[TRANSFER-1-RQ-1-06]	产品应为所有导出和导入操作生成审计事件。
[TRANSFER-1-RQ-1-07]	产品应将审计事件存储在持久性存储器中，确保复位后不丢失。
[LOG-1-RQ-1-01]该产品应为认证活动生成审核事件，包括但不限于：（i）认证成功或失败；（二）账户锁定触发和释放；和（三）认证证书更改尝试。
[LOG-1-RQ-1-02]该产品应为所有会话生命周期活动生成审核事件，包括（i）带有源详细信息的会话建立；（二）有理由终止会议；（三）会话验证尝试失败；和（四）并发会议限制违规行为。
[LOG-1-RQ-2-03]产品应执行命令授权，该授权创建未经授权命令的审核事件。
[LOG-1-RQ-2-04]该产品应将审核事件存储在生存重置的持久内存中。</t>
  </si>
  <si>
    <t>Annex I, Part I, (2)(d)
Annex I, Part I, (2)(l)
Annex I, Part I, (2)(m)</t>
  </si>
  <si>
    <t>Annex I, Part I, (2)(d): 通过适当的控制机制（包括但不限于身份验证、身份或访问管理系统）确保防止未经授权访问，并报告可能的未经授权访问;
Annex I, Part I, (2)(l): 通过记录和监控相关内部活动（包括访问或修改数据、服务或功能）来提供安全相关信息，并为用户提供退出机制;
Annex I, Part I, (2)(m): 为用户提供安全且轻松地永久删除所有数据和设置的可能性，并在这些数据可传输到其他产品或系统时，确保此过程安全。</t>
  </si>
  <si>
    <t>交换机的登录和安全配置功能</t>
  </si>
  <si>
    <t>管理员本地接入交换机管理页面进行登录操作</t>
  </si>
  <si>
    <t>数据资产：
交换机配置文件和配置参数
交换机管理员账户密码
日志
功能资产：
数据转发功能</t>
  </si>
  <si>
    <t>S, T, I, E</t>
  </si>
  <si>
    <t>PI-RF-1：明文传输凭证易被嗅探劫持
影响功能：如果交换机传输身份认证凭证支持明文传输，则数据易被篡改、窃取。
用户影响：影响机密性、完整性、真实性、授权性</t>
  </si>
  <si>
    <t>攻击者通过攻击管理员电脑等方式获取明文通信，再物理打开机柜连接交换机</t>
  </si>
  <si>
    <t>攻击者-管理员电脑-获取明文凭证-物理靠近设备-交换机</t>
  </si>
  <si>
    <t>获取明文凭证可能获取交换机最高权限</t>
  </si>
  <si>
    <t>需要同时掌握开机柜锁、应对高电压、掌握攻击管理员电脑获取明文信息的技能</t>
  </si>
  <si>
    <t>如果默认明文则影响所有交换机</t>
  </si>
  <si>
    <t>保障交换机的机密性、完整性、真实性、授权性</t>
  </si>
  <si>
    <t>风险影响不变</t>
  </si>
  <si>
    <t>通道或内容加密传输，难以重复攻击</t>
  </si>
  <si>
    <t>掌握技能增加</t>
  </si>
  <si>
    <t>仅涉及极少数允许明文通信的交换机</t>
  </si>
  <si>
    <t>通道或内容加密，更难发现</t>
  </si>
  <si>
    <t>[AUTH-1-RQ-*],
[DATA-1-RQ-*]</t>
  </si>
  <si>
    <t>[AUTH-1] Authentication
[AUTH-1-RQ-1-01]产品应实施用户认证机制。
[AUTH-1-RQ-1-02]该产品应通过以下方式删除共享的默认凭证：（i）在安全生产期间生成唯一凭证；或（ii）在初始安装期间强制创建强制性证书。
[Auth-1-RQ-1-03]该产品应确保认证证书仅通过提供最佳做法加密保护的渠道传输。所有认证交换所应（i）使用使用最佳做法加密提供保密和完整性保护的安全通信渠道；和（二）实施最佳做法机制，防止即使在未加密的渠道上泄露秘密。
[Auth-1-RQ-1-04]该产品应使用最佳做法加密方法存储秘密。
[Auth-1-RQ-1-05]该产品应通过字符复杂性和最小长度要求来执行证书熵。
[Auth-1-RQ-1-06]该产品应实施身份验证失败保护，包括但不限于：（i）失败尝试之间的逐步延迟，以及（ii）在一定数量的失败尝试后暂时关闭帐户。
[Auth-1-RQ-1-07]该产品应保持以前使用的密码的历史，以其处理的形式，以防止重复使用。必须保留的先前密码最少为一个。根据对产品暴露风险的评估，制造商可酌情增加这一违约。密码更改应在接受前根据这一历史进行验证。
注：根据[AUTH-1-RQ-1-04]，历史密码与当前凭证的存储安全要求相同。
[DATA]数据保护
[DATA-1-RQ-1-1]	产品应实施数据保护措施，确保所有敏感数据（包括密码、应用层加密密钥、用户凭证）在使用最佳实践加密算法的情况下加密存储（at rest）。
[DATA-1-RQ-1-2]	产品应实施数据保护措施，确保所有管理通信使用加密通道，通过最佳实践密码技术提供机密性和完整性保护。
[DATA-1-RQ-1-3]	产品应实施数据保护措施，确保配置文件和固件映像受到保护，防止未经授权的修改。
[DATA-1-RQ-1-4]	产品应实施数据保护措施，确保产品仅处理并保留其预期路由、交换或调制解调器功能所需的最少数据。任何超出预期用途的诊断或遥测数据采集都需要用户明确选择启用，且此类采集在默认状态下应被禁用。</t>
  </si>
  <si>
    <t>交换机的网络转发功能</t>
  </si>
  <si>
    <t>PI-RF-2：无认证请求引发资源耗尽、反射攻击
影响功能：交换机接收大量无认证请求数据（如 SNMP、LLDP、CDP、NTP、DHCP 等）导致资源耗尽，正常网络转发无法使用
用户影响：影响交换机的可用性</t>
  </si>
  <si>
    <t>攻击者构造大量无认证请求，通过物理靠近或在管理员电脑植入木马等方式发送给交换机</t>
  </si>
  <si>
    <t>攻击者-物理接触或管理员电脑-交换机</t>
  </si>
  <si>
    <t>攻击可导致交换机 CPU 过载，管理中断，但数据平面可能仍能转发（部分场景）</t>
  </si>
  <si>
    <t>需要本地网络接入或物理接触，攻击可重复但需暂停时间</t>
  </si>
  <si>
    <t>需要具备网络知识和协议了解，且需突破物理/网络访问限制</t>
  </si>
  <si>
    <t>单次攻击仅针对单台交换机，但攻击可对所有交换机有效</t>
  </si>
  <si>
    <t>未认证协议的存在难以从外部发现</t>
  </si>
  <si>
    <t>保障交换机的可用性</t>
  </si>
  <si>
    <t>1. 交换机禁用非必要的未认证协议，必要协议和端口限流
2. 交换机配置专用 CoPP 策略，限制发送到CPU的报文速率
3. 确保攻击结束后能尽快恢复到正常状态
4. 提供审计日志
6. 物理环境保护[EMU、电站实现]</t>
  </si>
  <si>
    <t>限流后风险影响减小</t>
  </si>
  <si>
    <t>攻击重复性未变</t>
  </si>
  <si>
    <t>发动攻击技能增加</t>
  </si>
  <si>
    <t>攻击不一定适用所有交换机，单次攻击涉及EMU及下属设备</t>
  </si>
  <si>
    <t>增加保护措施后更难实现</t>
  </si>
  <si>
    <t>[AVAIL-RQ-*]
[PACKET-RQ-*]</t>
  </si>
  <si>
    <t>[AVAIL-1-RQ-1-1]	产品应采用适当技术（包括但不限于速率限制和连接限流）对支持的网路协议实现抗DoS能力
[AVAIL-1-RQ-1-2]	当DoS条件停止后，产品应自动恢复到正常操作状态，无需人工干预
[AVAIL-1-RQ-1-3]	产品应在检测到高资源利用率（如持续高CPU使用率、内存耗尽、高丢包率等）以及资源利用率恢复到制造商定义的正常水平时，生成审计事件
[AVAIL-1-RQ-1-4]	产品应将审计事件存储在持久性存储器中，确保复位后仍可访问
[PACKET-1-RQ-1-01]	产品应丢弃任何无法基于已实现的协议处理程序、转发规则或状态机确定适当处理动作的数据包。这包括：（i）具有无法识别的协议标识符或类型字段的数据包；（ii）具有无效或意外封装组合的数据包；（iii）需要超出产品已实现协议栈深度进行处理的数据包；（iv）标头字段值超出相关协议标准规定范围的数据包；（v）对于有状态协议，无法匹配现有连接状态的数据包；以及（vi）任何可能触发产品未定义行为的数据包
[PACKET-1-RQ-1-02]	产品不得尝试部分处理、尽力转发或对无法根据已实现的协议规范完全验证的数据包进行后备处理。当在任何协议层存在数据包处理不确定性时，应丢弃整个数据包，而不是在其他层进行处理</t>
  </si>
  <si>
    <t>Annex I, Part I, (2)(h)
Annex I, Part I, (2)(i)
Annex I, Part I, (2)(j)
Annex I, Part I, (2)(k)</t>
  </si>
  <si>
    <t>Annex I, Part I, (2)(h)：保护关键和基本功能的可用性，即使在事件发生后，也包括通过对拒绝服务攻击的韧性和缓解措施;
Annex I, Part I, (2)(i)：最大限度减少产品本身或互联设备对其他设备或网络服务可用性的负面影响;
Annex I, Part I, (2)(j)：设计、开发和生产以限制攻击面，包括外部接口;
Annex I, Part I, (2)(k)：设计、开发和生产，以利用适当的利用缓解机制和技术来减少事件的影响</t>
  </si>
  <si>
    <t>交换机涉及无认证协议的网络转发和安全配置</t>
  </si>
  <si>
    <t>安全资产：交换机敏感网络参数</t>
  </si>
  <si>
    <t>PI-RF-3：协议泄露拓扑、版本、敏感信息
影响功能：交换机如果支持无认证协议，可能在传输时泄露网络、设备敏感参数
用户影响：影响交换机机密性</t>
  </si>
  <si>
    <t>攻击者物理靠近交换机设备，抓取交换机和其他设备的无认证协议通信</t>
  </si>
  <si>
    <t>攻击者-物理接触设备-交换机</t>
  </si>
  <si>
    <t>泄露的信息仅限于网络拓扑、设备型号、软件版本等系统细节，不包含用户凭证或业务数据。符合“泄漏系统细节资讯”的低损害等级。</t>
  </si>
  <si>
    <t>信息泄露不直接导致业务中断，但泄露的信息可能用于后续攻击，间接影响所有下游设备。属于“部分使用者/设备”的中等影响范围。</t>
  </si>
  <si>
    <t>信息泄露协议的存在无法从外部网络发现（无IP），需要通过本地网络扫描或物理接入后才能探测。而本地接入本身已被物理防护限制。属于“极少用到的功能且难以找出漏洞”。</t>
  </si>
  <si>
    <t>风险较低且依赖管理员、物理环境保护</t>
  </si>
  <si>
    <t>保障交换机的机密性</t>
  </si>
  <si>
    <t>交换机禁用非必要的未认证协议，必要协议和端口限流</t>
  </si>
  <si>
    <t>[EXPOSURE-RQ-*], [DATA-RQ-*]</t>
  </si>
  <si>
    <t>[EXPOSURE] 最小化暴露面
[EXPOSURE-1-RQ-1-01]：默认配置中，禁用非必要的接口和服务
[EXPOSURE-1-RQ-1-02]：提供能力，允许管理员选择性启用/禁用各服务和接口
[DATA]数据保护
[DATA-1-RQ-1-1]	产品应实施数据保护措施，确保所有敏感数据（包括密码、应用层加密密钥、用户凭证）在使用最佳实践加密算法的情况下加密存储（at rest）。
[DATA-1-RQ-1-2]	产品应实施数据保护措施，确保所有管理通信使用加密通道，通过最佳实践密码技术提供机密性和完整性保护。
[DATA-1-RQ-1-3]	产品应实施数据保护措施，确保配置文件和固件映像受到保护，防止未经授权的修改。
[DATA-1-RQ-1-4]	产品应实施数据保护措施，确保产品仅处理并保留其预期路由、交换或调制解调器功能所需的最少数据。任何超出预期用途的诊断或遥测数据采集都需要用户明确选择启用，且此类采集在默认状态下应被禁用。</t>
  </si>
  <si>
    <t>Annex I, Part I, (2)(e)
Annex I, Part I, (2)(f)
Annex I, Part I, (2)(g)
Annex I, Part I, (2)(j)
Annex I, Part I, (2)(k)</t>
  </si>
  <si>
    <t>Annex I, Part I, (2)(e):保护存储、传输或其他处理数据的机密性，无论是个人还是其他，例如通过最先进机制加密静态或传输中的相关数据，以及使用其他技术手段;
Annex I, Part I, (2)(f):保护存储、传输或其他处理数据（个人或其他）、命令、程序及配置的完整性，防止未经用户授权的任何操作或修改，并报告损坏情况;
Annex I, Part I, (2)(g):仅处理足够、相关且仅限于与产品预期目的相关的数据，包括个人或其他数据（数据最小化）;
Annex I, Part I, (2)(j): 设计、开发和生产以限制攻击面，包括外部接口
Annex I, Part I, (2)(k):设计、开发和生产，以利用适当的利用缓解机制和技术来减少事件的影响</t>
  </si>
  <si>
    <t>交换机的传输、存储功能</t>
  </si>
  <si>
    <t>交换机在传输、存储、校验过程中使用的密码算法</t>
  </si>
  <si>
    <t>数据资产：
固件
管理员账户密码</t>
  </si>
  <si>
    <t>S, T, I</t>
  </si>
  <si>
    <t>PI-RF-4：弱 / 过时密码算法易被破解
影响功能：如果交换机在数据存储、传输过程中使用弱 / 过时密码算法，则易被破解导致信息泄露或篡改
用户影响：敏感数据被窃取或篡改，影响机密性、完整性和真实性</t>
  </si>
  <si>
    <t>攻击者物理靠近交换机设备，破解弱密码算法窃取或篡改数据</t>
  </si>
  <si>
    <t>属于泄露部分机密资料</t>
  </si>
  <si>
    <t>需要本地网络或物理接触，攻击可重复但需要暂停时间</t>
  </si>
  <si>
    <t>需要了解设备支持的弱算法且突破物理访问</t>
  </si>
  <si>
    <t>弱加密配置无法从外部扫描发现，需经物理接触，极难发现</t>
  </si>
  <si>
    <t>保障交换机的机密性、完整性、真实性</t>
  </si>
  <si>
    <t>禁用用弱密码算法</t>
  </si>
  <si>
    <t>无弱密码算法影响</t>
  </si>
  <si>
    <t>[DATA-RQ-*], [UPDATE-RQ-*]</t>
  </si>
  <si>
    <t>[DATA]数据保护
[DATA-1-RQ-1-1]	产品应实施数据保护措施，确保所有敏感数据（包括密码、应用层加密密钥、用户凭证）在使用最佳实践加密算法的情况下加密存储（at rest）。
[DATA-1-RQ-1-2]	产品应实施数据保护措施，确保所有管理通信使用加密通道，通过最佳实践密码技术提供机密性和完整性保护。
[DATA-1-RQ-1-3]	产品应实施数据保护措施，确保配置文件和固件映像受到保护，防止未经授权的修改。
[DATA-1-RQ-1-4]	产品应实施数据保护措施，确保产品仅处理并保留其预期路由、交换或调制解调器功能所需的最少数据。任何超出预期用途的诊断或遥测数据采集都需要用户明确选择启用，且此类采集在默认状态下应被禁用。
[UPDATE]安全更新
[UPDATE-1-RQ-1-01]	产品应提供在整个定义的支持期内接收和安装补救措施的机制
[UPDATE-1-RQ-1-02]	产品应确保更新机制是自动化的，并默认激活
[UPDATE-1-RQ-1-03]	产品应确保更新机制依赖于用户配置，并按照用户配置自动运行
[UPDATE-1-RQ-1-04]	产品应实施保护，防止未经授权和未认证的补救措施安装
[UPDATE-1-RQ-1-05]	产品应实施补救措施的加密验证，以确保真实性和完整性
[UPDATE-1-RQ-1-06]	制造商应确保任何更新维持或改进产品的安全属性
[UPDATE-1-RQ-1-07]	产品应为所有更新活动生成审计事件
[UPDATE-1-RQ-1-08]	产品应将审计事件存储在复位后仍然存在的持久性存储器中</t>
  </si>
  <si>
    <t>Annex I, Part I, (2)(c)
Annex I, Part I, (2)(e)
Annex I, Part I, (2)(f)
Annex I, Part I, (2)(g)</t>
  </si>
  <si>
    <t>Annex I, Part I, (2)(c)确保漏洞可以通过安全更新解决，包括在适当时间内安装的自动安全更新，这些更新已作为默认设置启用，配备清晰易用的退出机制，通过通知用户可用更新以及暂时推迟的选项;
Annex I, Part I, (2)(e):保护存储、传输或其他处理数据的机密性，无论是个人还是其他，例如通过最先进机制加密静态或传输中的相关数据，以及使用其他技术手段;
Annex I, Part I, (2)(f):保护存储、传输或其他处理数据（个人或其他）、命令、程序及配置的完整性，防止未经用户授权的任何操作或修改，并报告损坏情况;
Annex I, Part I, (2)(g):仅处理足够、相关且仅限于与产品预期目的相关的数据，包括个人或其他数据（数据最小化）;</t>
  </si>
  <si>
    <t>交换机的数据转发功能</t>
  </si>
  <si>
    <t>S,T,D</t>
  </si>
  <si>
    <t>攻击者物理靠近交换机设备或攻击管理员电脑，使无认证协议传输虚假报文</t>
  </si>
  <si>
    <t>成功的 STP 攻击或 ARP 欺骗可导致网络瘫痪、广播风暴、数据窃听，属于严重损害。</t>
  </si>
  <si>
    <t>需要无认证协议支持和突破物理访问</t>
  </si>
  <si>
    <t>单次攻击影响单台EMU及下属设备</t>
  </si>
  <si>
    <t>漏洞难以从外部发现</t>
  </si>
  <si>
    <t>保障交换机的真实性、完整性、可用性</t>
  </si>
  <si>
    <t>1. 配置STP、ARP数据和路由转发协议的安全防护（如 BPDU Guard、Root Guard、 DHCP Snooping、 Dynamic ARP Inspection等）
2. 配置日志审计功能记录异常</t>
  </si>
  <si>
    <t>危害不变</t>
  </si>
  <si>
    <t>增加防护，攻击可重复难度增大</t>
  </si>
  <si>
    <t>需要的知识增多</t>
  </si>
  <si>
    <t>影响单台交换机和设备</t>
  </si>
  <si>
    <t>难以探测攻击点</t>
  </si>
  <si>
    <t>[AUTH-4-RQ-*],
[INTEGRITY-RQ-*]</t>
  </si>
  <si>
    <t>[AUTH-4-RQ-1-01]	当存在任何风险因素 [PI-RF-1] 至 [PI-RF-5] 时，产品对启用、禁用或配置这些协议的任何管理操作均要求认证和授权。控制协议行为的管理接口必须受到保护，无论协议本身是否支持认证
[AUTH-4-RQ-1-02]	当存在风险因素 [PI-RF-1]（明文凭证）时，产品应提供安全的替代协议与明文管理协议并存，并在使用明文协议时生成警告。
[AUTH-4-RQ-1-03]	当存在风险因素 [PI-RF-2]（未认证请求处理）时，产品应对未认证的协议请求实施速率限制和源验证（如果可能），以缓解欺骗和注入攻击。
[AUTH-4-RQ-1-04]	当存在风险因素 [PI-RF-3]（信息泄露）时，产品应提供配置选项以禁用或限制通过诊断协议泄露信息。
[AUTH-4-RQ-1-05]	当存在风险因素 [PI-RF-4]（弱密码利用）时，制造商应记录所有密码算法，并提供配置选项以在操作可行时禁用弱协议版本。
[AUTH-4-RQ-1-06]	当存在风险因素 [PI-RF-5]（未验证的信任建立）时，产品应对信任建立实施额外的验证机制，并为所有信任关系变更提供审计日志。
[INTEGRITY-1-RQ-1-01]产品应使用最佳实践加密方法对引导组件进行加密验证。
[INTEGRITY-1-RQ-1-02]产品应建立一个安全的引导链，其中（i）每个阶段在转移控制权之前验证下一阶段；（ii）初始引导加载程序是不可变的或受硬件保护的；（iii）验证失败会停止引导过程；以及（iv）在正常启动期间，只有经过验证的代码才能执行。
[INTEGRITY-1-RQ-1-03]产品应生成所有启动事件的审计事件，包括（i）带有时间戳的启动阶段进展；（ii）每个组件的验证，无论是成功还是失败；（iii）恢复模式激活；以及（iv）检测到的旁路尝试。
[INTEGRITY-1-RQ-1-04]产品应将审计事件存储在重置后仍然存在的持久存储器中。
[INTEGRITY-1-RQ-1-05]产品应通过在授予访问权限之前实施身份验证和授权来保护恢复和维护模式（如果存在）。</t>
  </si>
  <si>
    <t>Annex I, Part I, (2)(d): 通过适当的控制机制（包括但不限于身份验证、身份或访问管理系统）确保防止未经授权访问，并报告可能的未经授权访问;
Annex I, Part I, (2)(j)：设计、开发和生产以限制攻击面，包括外部接口;
Annex I, Part I, (2)(k)：设计、开发和生产，以利用适当的利用缓解机制和技术来减少事件的影响</t>
  </si>
  <si>
    <t>交换机在认证成功后的Web配置功能</t>
  </si>
  <si>
    <t>数据资产：交换机配置参数
功能资产：交换机数据转发功能</t>
  </si>
  <si>
    <t>PI-RF-6：认证后明文传输，会话易劫持
影响功能：如果在网络登录后采用明文传输，则交换机的配置参数可能被泄露或篡改
用户影响：影响机密性、完整性和真实性</t>
  </si>
  <si>
    <t>攻击者在管理员电脑中安装木马等软件抓包读取和篡改配置参数</t>
  </si>
  <si>
    <t>攻击者-管理员PC-交换机</t>
  </si>
  <si>
    <t>能修改配置，但一般不能获取所有权限</t>
  </si>
  <si>
    <t>攻击一次成功可重复攻击</t>
  </si>
  <si>
    <t>需要网络抓包篡改知识和物理攻击管理员电脑</t>
  </si>
  <si>
    <t>需要扫描配置</t>
  </si>
  <si>
    <t>关闭网络管理接口，仅开放Console接口调试，或全程使用加密算法</t>
  </si>
  <si>
    <t>管理配置无明文传输</t>
  </si>
  <si>
    <t>影响部分设备</t>
  </si>
  <si>
    <t>[DATA-RQ-*], [TRANSFER-RQ-*]</t>
  </si>
  <si>
    <t>[DATA]数据保护
[DATA-1-RQ-1-1]	产品应实施数据保护措施，确保所有敏感数据（包括密码、应用层加密密钥、用户凭证）在使用最佳实践加密算法的情况下加密存储（at rest）。
[DATA-1-RQ-1-2]	产品应实施数据保护措施，确保所有管理通信使用加密通道，通过最佳实践密码技术提供机密性和完整性保护。
[DATA-1-RQ-1-3]	产品应实施数据保护措施，确保配置文件和固件映像受到保护，防止未经授权的修改。
[DATA-1-RQ-1-4]	产品应实施数据保护措施，确保产品仅处理并保留其预期路由、交换或调制解调器功能所需的最少数据。任何超出预期用途的诊断或遥测数据采集都需要用户明确选择启用，且此类采集在默认状态下应被禁用。
[TRANSFER-1-RQ-1-01]	产品应支持安全数据导出，允许用户通过加密通道传输导出的数据。
[TRANSFER-1-RQ-1-02]	产品应支持安全数据导入，允许用户通过加密通道将数据导入产品。
[TRANSFER-1-RQ-1-03]	产品应提供使用最佳实践加密算法加密导出数据的能力，加密基于用户在导出时的偏好选择应用。
[TRANSFER-1-RQ-1-04]	产品要求管理权限才能执行导出操作。
[TRANSFER-1-RQ-1-05]	产品要求管理权限才能执行导入操作。
[TRANSFER-1-RQ-1-06]	产品应为所有导出和导入操作生成审计事件。</t>
  </si>
  <si>
    <t>Annex I, Part I, (2)(e)
Annex I, Part I, (2)(f)
Annex I, Part I, (2)(g)
Annex I, Part I, (2)(m)</t>
  </si>
  <si>
    <t>Annex I, Part I, (2)(e):保护存储、传输或其他处理数据的机密性，无论是个人还是其他，例如通过最先进机制加密静态或传输中的相关数据，以及使用其他技术手段;
Annex I, Part I, (2)(f):保护存储、传输或其他处理数据（个人或其他）、命令、程序及配置的完整性，防止未经用户授权的任何操作或修改，并报告损坏情况;
Annex I, Part I, (2)(g):仅处理足够、相关且仅限于与产品预期目的相关的数据，包括个人或其他数据（数据最小化）;
Annex I, Part I, (2)(m): 为用户提供安全且轻松地永久删除所有数据和设置的可能性，并在这些数据可传输到其他产品或系统时，确保此过程安全。</t>
  </si>
  <si>
    <t>PI-RF-7：加密协议实现漏洞、密钥泄露
影响功能：如果交换机支持存在漏洞的加密协议，可能导致旁路攻击或随机数生成器被破解而泄露会话密钥，导致传输数据泄露
用户影响：影响机密性、完整性和真实性</t>
  </si>
  <si>
    <t>攻击者通过旁路攻击或利用不良随机数生成器获取会话密钥，解密协议内容</t>
  </si>
  <si>
    <t>攻击者-交换机传输通道-交换机</t>
  </si>
  <si>
    <t>能通过解密通道获取所有敏感信息</t>
  </si>
  <si>
    <t>需要物理突破知识和了解网络协议漏洞</t>
  </si>
  <si>
    <t>交换机信息公开，但物理靠近设备困难</t>
  </si>
  <si>
    <t>1. 关闭网络管理接口，仅开放Console接口调试
2. 如果允许使用玩了个管理接口配置，则：
使用强随机源（如dev/urandom）
禁用弱密码套件
及时更新固件
强制浏览器使用HTTPS
审计日志</t>
  </si>
  <si>
    <t>网络接口被禁用或安全管理</t>
  </si>
  <si>
    <t>[DATA-RQ-*], [UPDATE-RQ-*],
[INTEGRITY-RQ-*]</t>
  </si>
  <si>
    <t>[DATA]数据保护
[DATA-1-RQ-1-1]	产品应实施数据保护措施，确保所有敏感数据（包括密码、应用层加密密钥、用户凭证）在使用最佳实践加密算法的情况下加密存储（at rest）。
[DATA-1-RQ-1-2]	产品应实施数据保护措施，确保所有管理通信使用加密通道，通过最佳实践密码技术提供机密性和完整性保护。
[DATA-1-RQ-1-3]	产品应实施数据保护措施，确保配置文件和固件映像受到保护，防止未经授权的修改。
[DATA-1-RQ-1-4]	产品应实施数据保护措施，确保产品仅处理并保留其预期路由、交换或调制解调器功能所需的最少数据。任何超出预期用途的诊断或遥测数据采集都需要用户明确选择启用，且此类采集在默认状态下应被禁用。
[UPDATE]安全更新
[UPDATE-1-RQ-1-01]	产品应提供在整个定义的支持期内接收和安装补救措施的机制
[UPDATE-1-RQ-1-02]	产品应确保更新机制是自动化的，并默认激活
[UPDATE-1-RQ-1-03]	产品应确保更新机制依赖于用户配置，并按照用户配置自动运行
[UPDATE-1-RQ-1-04]	产品应实施保护，防止未经授权和未认证的补救措施安装
[UPDATE-1-RQ-1-05]	产品应实施补救措施的加密验证，以确保真实性和完整性
[UPDATE-1-RQ-1-06]	制造商应确保任何更新维持或改进产品的安全属性
[UPDATE-1-RQ-1-07]	产品应为所有更新活动生成审计事件
[UPDATE-1-RQ-1-08]	产品应将审计事件存储在复位后仍然存在的持久性存储器中
[INTEGRITY-1-RQ-1-01]产品应使用最佳实践加密方法对引导组件进行加密验证。
[INTEGRITY-1-RQ-1-02]产品应建立一个安全的引导链，其中（i）每个阶段在转移控制权之前验证下一阶段；（ii）初始引导加载程序是不可变的或受硬件保护的；（iii）验证失败会停止引导过程；以及（iv）在正常启动期间，只有经过验证的代码才能执行。
[INTEGRITY-1-RQ-1-03]产品应生成所有启动事件的审计事件，包括（i）带有时间戳的启动阶段进展；（ii）每个组件的验证，无论是成功还是失败；（iii）恢复模式激活；以及（iv）检测到的旁路尝试。
[INTEGRITY-1-RQ-1-04]产品应将审计事件存储在重置后仍然存在的持久存储器中。
[INTEGRITY-1-RQ-1-05]产品应通过在授予访问权限之前实施身份验证和授权来保护恢复和维护模式（如果存在）。</t>
  </si>
  <si>
    <t>Annex I, Part I, (2)(c)
Annex I, Part I, (2)(e)
Annex I, Part I, (2)(f)
Annex I, Part I, (2)(g)
Annex I, Part I, (2)(j)
Annex I, Part I, (2)(k)</t>
  </si>
  <si>
    <t>Annex I, Part I, (2)(c)确保漏洞可以通过安全更新解决，包括在适当时间内安装的自动安全更新，这些更新已作为默认设置启用，配备清晰易用的退出机制，通过通知用户可用更新以及暂时推迟的选项;
Annex I, Part I, (2)(e):保护存储、传输或其他处理数据的机密性，无论是个人还是其他，例如通过最先进机制加密静态或传输中的相关数据，以及使用其他技术手段;
Annex I, Part I, (2)(f):保护存储、传输或其他处理数据（个人或其他）、命令、程序及配置的完整性，防止未经用户授权的任何操作或修改，并报告损坏情况;
Annex I, Part I, (2)(g):仅处理足够、相关且仅限于与产品预期目的相关的数据，包括个人或其他数据（数据最小化）;
Annex I, Part I, (2)(j)：设计、开发和生产以限制攻击面，包括外部接口;
Annex I, Part I, (2)(k)：设计、开发和生产，以利用适当的利用缓解机制和技术来减少事件的影响</t>
  </si>
  <si>
    <t>交换机的文件导入、导出功能</t>
  </si>
  <si>
    <t>交换机导出、导出配置文件和上传固件等文件上传/下载功能</t>
  </si>
  <si>
    <t>数据资产：
固件
交换机配置参数
功能资产：交换机数据转发功能</t>
  </si>
  <si>
    <t>DO-RF-1：配置 / 固件导入导出引发泄露或注入
影响功能：如果交换机支持导入/导出固件、配置文件，可能会被利用该接口泄露敏感信息或注入恶意代码，导致设备功能异常
用户影响：影响交换机的机密性、完整性、真实性和授权性</t>
  </si>
  <si>
    <t>攻击者通过交换机的TFTP端口获取文件明文，或上传恶意配置的固件或配置文件</t>
  </si>
  <si>
    <t>攻击者-物理靠近交换机-交换机网络接口或文件上传/下载接口-读取信息或上传恶意文件</t>
  </si>
  <si>
    <t>能获取敏感信息或上传恶意代码提权</t>
  </si>
  <si>
    <t>需要物理突破知识和了解文件上传漏洞</t>
  </si>
  <si>
    <t>1. 禁用不安全的传输通道（如TFTP）
2. 配置文件上传和下载的完整性校验，以及配置文件不包含敏感信息
3. 固件的真实性和完整性校验
4. 文件上传接口输入校验</t>
  </si>
  <si>
    <t>攻击影响后果不变</t>
  </si>
  <si>
    <t>需要物理突破和破解输入校验机制</t>
  </si>
  <si>
    <t>物理靠近和校验机制突破困难</t>
  </si>
  <si>
    <t>[TRANSFER-RQ-*], [DATA-RQ-*], [AUTH-1-RQ-*]</t>
  </si>
  <si>
    <t>[TRANSFER-1-RQ-1-01]	产品应支持安全数据导出，允许用户通过加密通道传输导出的数据。
[TRANSFER-1-RQ-1-02]	产品应支持安全数据导入，允许用户通过加密通道将数据导入产品。
[TRANSFER-1-RQ-1-03]	产品应提供使用最佳实践加密算法加密导出数据的能力，加密基于用户在导出时的偏好选择应用。
[TRANSFER-1-RQ-1-04]	产品要求管理权限才能执行导出操作。
[TRANSFER-1-RQ-1-05]	产品要求管理权限才能执行导入操作。
[TRANSFER-1-RQ-1-06]	产品应为所有导出和导入操作生成审计事件。
[AUTH-1] Authentication
[AUTH-1-RQ-1-01]产品应实施用户认证机制。
[AUTH-1-RQ-1-02]该产品应通过以下方式删除共享的默认凭证：（i）在安全生产期间生成唯一凭证；或（ii）在初始安装期间强制创建强制性证书。
[Auth-1-RQ-1-03]该产品应确保认证证书仅通过提供最佳做法加密保护的渠道传输。所有认证交换所应（i）使用使用最佳做法加密提供保密和完整性保护的安全通信渠道；和（二）实施最佳做法机制，防止即使在未加密的渠道上泄露秘密。
[Auth-1-RQ-1-04]该产品应使用最佳做法加密方法存储秘密。
[Auth-1-RQ-1-05]该产品应通过字符复杂性和最小长度要求来执行证书熵。
[Auth-1-RQ-1-06]该产品应实施身份验证失败保护，包括但不限于：（i）失败尝试之间的逐步延迟，以及（ii）在一定数量的失败尝试后暂时关闭帐户。
[Auth-1-RQ-1-07]该产品应保持以前使用的密码的历史，以其处理的形式，以防止重复使用。必须保留的先前密码最少为一个。根据对产品暴露风险的评估，制造商可酌情增加这一违约。密码更改应在接受前根据这一历史进行验证。
注：根据[AUTH-1-RQ-1-04]，历史密码与当前凭证的存储安全要求相同。
[DATA]数据保护
[DATA-1-RQ-1-1]	产品应实施数据保护措施，确保所有敏感数据（包括密码、应用层加密密钥、用户凭证）在使用最佳实践加密算法的情况下加密存储（at rest）。
[DATA-1-RQ-1-2]	产品应实施数据保护措施，确保所有管理通信使用加密通道，通过最佳实践密码技术提供机密性和完整性保护。
[DATA-1-RQ-1-3]	产品应实施数据保护措施，确保配置文件和固件映像受到保护，防止未经授权的修改。
[DATA-1-RQ-1-4]	产品应实施数据保护措施，确保产品仅处理并保留其预期路由、交换或调制解调器功能所需的最少数据。任何超出预期用途的诊断或遥测数据采集都需要用户明确选择启用，且此类采集在默认状态下应被禁用。</t>
  </si>
  <si>
    <t>Annex I, Part I, (2)(d)
Annex I, Part I, (2)(e)
Annex I, Part I, (2)(f)
Annex I, Part I, (2)(g)
Annex I, Part I, (2)(m)</t>
  </si>
  <si>
    <t>Annex I, Part I, (2)(d): 通过适当的控制机制（包括但不限于身份验证、身份或访问管理系统）确保防止未经授权访问，并报告可能的未经授权访问;
Annex I, Part I, (2)(e):保护存储、传输或其他处理数据的机密性，无论是个人还是其他，例如通过最先进机制加密静态或传输中的相关数据，以及使用其他技术手段;
Annex I, Part I, (2)(f):保护存储、传输或其他处理数据（个人或其他）、命令、程序及配置的完整性，防止未经用户授权的任何操作或修改，并报告损坏情况;
Annex I, Part I, (2)(g):仅处理足够、相关且仅限于与产品预期目的相关的数据，包括个人或其他数据（数据最小化）;
Annex I, Part I, (2)(m): 为用户提供安全且轻松地永久删除所有数据和设置的可能性，并在这些数据可传输到其他产品或系统时，确保此过程安全。</t>
  </si>
  <si>
    <t>设备使用的所有三方组件</t>
  </si>
  <si>
    <t>安全资产：三方组件</t>
  </si>
  <si>
    <t>T, D, R, E</t>
  </si>
  <si>
    <t>损害功能：交换机的运行。如果使用存在已知漏洞的三方组件，可能导致设备被攻击，影响功能的正常运行
用户影响：影响EMU的可用性、完整性、不可抵赖性、授权性</t>
  </si>
  <si>
    <t>交换机中的三方组件存在已知漏洞，攻击者通过分析已知漏洞通过物理靠近并打开EMU外壳发起攻击</t>
  </si>
  <si>
    <t>攻击者-分析交换机固件-发现三方已知漏洞-物理靠近设备攻击</t>
  </si>
  <si>
    <t>攻击者定位可利用漏洞后可重复攻击</t>
  </si>
  <si>
    <t>需要漏洞利用能力</t>
  </si>
  <si>
    <t>所有使用相同固件的交换机都有影响</t>
  </si>
  <si>
    <t>已知漏洞通常提供漏洞利用POC，公开信息</t>
  </si>
  <si>
    <t>保障三方组件的完整性、可用性、授权性、不可抵赖性</t>
  </si>
  <si>
    <t>没有已知漏洞，无法通过已知漏洞进行攻击</t>
  </si>
  <si>
    <t>没有攻击点，减少攻击频次</t>
  </si>
  <si>
    <t>无法通过已知漏洞攻击，需要极高技能</t>
  </si>
  <si>
    <t>无法影响及时修补漏洞的设备</t>
  </si>
  <si>
    <t>无法通过公开资料查询攻击方式</t>
  </si>
  <si>
    <t>CRA Annex I-2(a)</t>
  </si>
  <si>
    <t>a: 在市场上公开且无已知可利用漏洞;</t>
  </si>
  <si>
    <t>DREAD</t>
  </si>
  <si>
    <r>
      <rPr>
        <sz val="12"/>
        <color rgb="FF000000"/>
        <rFont val="宋体"/>
        <family val="3"/>
        <charset val="134"/>
      </rPr>
      <t>情境描述</t>
    </r>
    <r>
      <rPr>
        <sz val="12"/>
        <color rgb="FF000000"/>
        <rFont val="Times New Roman"/>
        <family val="1"/>
      </rPr>
      <t xml:space="preserve">
Description</t>
    </r>
  </si>
  <si>
    <r>
      <rPr>
        <sz val="12"/>
        <color rgb="FF000000"/>
        <rFont val="Times New Roman"/>
        <family val="1"/>
      </rPr>
      <t>High ( 3</t>
    </r>
    <r>
      <rPr>
        <sz val="12"/>
        <color rgb="FF000000"/>
        <rFont val="宋体"/>
        <family val="3"/>
        <charset val="134"/>
      </rPr>
      <t>分</t>
    </r>
    <r>
      <rPr>
        <sz val="12"/>
        <color rgb="FF000000"/>
        <rFont val="Times New Roman"/>
        <family val="1"/>
      </rPr>
      <t xml:space="preserve"> )</t>
    </r>
  </si>
  <si>
    <r>
      <rPr>
        <sz val="12"/>
        <color rgb="FF000000"/>
        <rFont val="Times New Roman"/>
        <family val="1"/>
      </rPr>
      <t xml:space="preserve">Medium ( 2 </t>
    </r>
    <r>
      <rPr>
        <sz val="12"/>
        <color rgb="FF000000"/>
        <rFont val="宋体"/>
        <family val="3"/>
        <charset val="134"/>
      </rPr>
      <t>分</t>
    </r>
    <r>
      <rPr>
        <sz val="12"/>
        <color rgb="FF000000"/>
        <rFont val="Times New Roman"/>
        <family val="1"/>
      </rPr>
      <t>)</t>
    </r>
  </si>
  <si>
    <r>
      <rPr>
        <sz val="12"/>
        <color rgb="FF000000"/>
        <rFont val="Times New Roman"/>
        <family val="1"/>
      </rPr>
      <t>Low ( 1</t>
    </r>
    <r>
      <rPr>
        <sz val="12"/>
        <color rgb="FF000000"/>
        <rFont val="宋体"/>
        <family val="3"/>
        <charset val="134"/>
      </rPr>
      <t>分</t>
    </r>
    <r>
      <rPr>
        <sz val="12"/>
        <color rgb="FF000000"/>
        <rFont val="Times New Roman"/>
        <family val="1"/>
      </rPr>
      <t xml:space="preserve"> )</t>
    </r>
  </si>
  <si>
    <t>STRIDE</t>
  </si>
  <si>
    <t>定义和描述</t>
  </si>
  <si>
    <t>安全特性</t>
  </si>
  <si>
    <t>案例</t>
  </si>
  <si>
    <r>
      <rPr>
        <sz val="12"/>
        <color rgb="FF000000"/>
        <rFont val="宋体"/>
        <family val="3"/>
        <charset val="134"/>
      </rPr>
      <t>可能伤害</t>
    </r>
    <r>
      <rPr>
        <sz val="12"/>
        <color rgb="FF000000"/>
        <rFont val="Times New Roman"/>
        <family val="1"/>
      </rPr>
      <t xml:space="preserve">
Damage</t>
    </r>
  </si>
  <si>
    <r>
      <rPr>
        <sz val="12"/>
        <color rgb="FF000000"/>
        <rFont val="宋体"/>
        <family val="3"/>
        <charset val="134"/>
      </rPr>
      <t>如果此威胁发生，伤害有多大</t>
    </r>
    <r>
      <rPr>
        <sz val="12"/>
        <color rgb="FF000000"/>
        <rFont val="Times New Roman"/>
        <family val="1"/>
      </rPr>
      <t>?
How will be the damage if such threat is found.</t>
    </r>
  </si>
  <si>
    <r>
      <rPr>
        <sz val="12"/>
        <color rgb="FF000000"/>
        <rFont val="宋体"/>
        <family val="3"/>
        <charset val="134"/>
      </rPr>
      <t xml:space="preserve">攻击者取得完整的机敏资料取得系统最高权限
</t>
    </r>
    <r>
      <rPr>
        <sz val="12"/>
        <color rgb="FF000000"/>
        <rFont val="Times New Roman"/>
        <family val="1"/>
      </rPr>
      <t>Attacker can access complete sensitive data with highest piority in the system.</t>
    </r>
  </si>
  <si>
    <r>
      <rPr>
        <sz val="12"/>
        <color rgb="FF000000"/>
        <rFont val="宋体"/>
        <family val="3"/>
        <charset val="134"/>
      </rPr>
      <t xml:space="preserve">泄漏部分机敏资料
</t>
    </r>
    <r>
      <rPr>
        <sz val="12"/>
        <color rgb="FF000000"/>
        <rFont val="Times New Roman"/>
        <family val="1"/>
      </rPr>
      <t>Part of sensitive data will be disclosed.</t>
    </r>
  </si>
  <si>
    <r>
      <rPr>
        <sz val="12"/>
        <color rgb="FF000000"/>
        <rFont val="宋体"/>
        <family val="3"/>
        <charset val="134"/>
      </rPr>
      <t xml:space="preserve">泄漏系统细节资讯
</t>
    </r>
    <r>
      <rPr>
        <sz val="12"/>
        <color rgb="FF000000"/>
        <rFont val="Times New Roman"/>
        <family val="1"/>
      </rPr>
      <t xml:space="preserve">Part of system specified information will be disclosed.
</t>
    </r>
    <r>
      <rPr>
        <sz val="12"/>
        <color rgb="FF0070C0"/>
        <rFont val="宋体"/>
        <family val="3"/>
        <charset val="134"/>
      </rPr>
      <t xml:space="preserve">
</t>
    </r>
  </si>
  <si>
    <r>
      <rPr>
        <sz val="12"/>
        <color rgb="FF000000"/>
        <rFont val="等线"/>
        <family val="3"/>
        <charset val="134"/>
      </rPr>
      <t xml:space="preserve">假冒 </t>
    </r>
    <r>
      <rPr>
        <sz val="12"/>
        <color rgb="FF000000"/>
        <rFont val="Times New Roman"/>
        <family val="1"/>
      </rPr>
      <t xml:space="preserve">Spoofing </t>
    </r>
  </si>
  <si>
    <t>违背用户认证信息。获得用户个人信息或可重放认证过程，冒充有效的系统用户或资源以访问系统从而危及系统安全。</t>
  </si>
  <si>
    <t>真实性</t>
  </si>
  <si>
    <r>
      <rPr>
        <sz val="12"/>
        <color rgb="FF000000"/>
        <rFont val="宋体"/>
        <family val="3"/>
        <charset val="134"/>
      </rPr>
      <t>恶意冒充者（中间人）伪造</t>
    </r>
    <r>
      <rPr>
        <sz val="12"/>
        <color rgb="FF000000"/>
        <rFont val="Times New Roman"/>
        <family val="1"/>
      </rPr>
      <t>IP</t>
    </r>
    <r>
      <rPr>
        <sz val="12"/>
        <color rgb="FF000000"/>
        <rFont val="宋体"/>
        <family val="3"/>
        <charset val="134"/>
      </rPr>
      <t>（互联网供应商）数据包，劫持与服务器的连接。这里的漏洞是，通信协议没有考虑保密性和完整性设计；</t>
    </r>
    <r>
      <rPr>
        <sz val="12"/>
        <color rgb="FF000000"/>
        <rFont val="Times New Roman"/>
        <family val="1"/>
      </rPr>
      <t xml:space="preserve">
</t>
    </r>
    <r>
      <rPr>
        <sz val="12"/>
        <color rgb="FF000000"/>
        <rFont val="宋体"/>
        <family val="3"/>
        <charset val="134"/>
      </rPr>
      <t>使用密码而不对其进行加密的认证协议会向窃听者透露凭证信息，然后窃听者可以利用这些信息来冒充用户。这里的漏洞是，凭证信息没有被正确加密；</t>
    </r>
    <r>
      <rPr>
        <sz val="12"/>
        <color rgb="FF000000"/>
        <rFont val="Times New Roman"/>
        <family val="1"/>
      </rPr>
      <t xml:space="preserve">
“</t>
    </r>
    <r>
      <rPr>
        <sz val="12"/>
        <color rgb="FF000000"/>
        <rFont val="宋体"/>
        <family val="3"/>
        <charset val="134"/>
      </rPr>
      <t>特洛伊木马”攻击是典型的欺骗。例如，在浏览器上，一个网页可能设法构建一个完全视觉化的系统登录副本，并欺骗用户输入他们的姓名和密码，而不怀疑他们实际上是在向一个网站提供信息；</t>
    </r>
    <r>
      <rPr>
        <sz val="12"/>
        <color rgb="FF000000"/>
        <rFont val="Times New Roman"/>
        <family val="1"/>
      </rPr>
      <t xml:space="preserve">
</t>
    </r>
    <r>
      <rPr>
        <sz val="12"/>
        <color rgb="FF000000"/>
        <rFont val="宋体"/>
        <family val="3"/>
        <charset val="134"/>
      </rPr>
      <t>伪造电子邮件。这种情况下的漏洞是缺乏电子邮件信息的保密性和完整性。</t>
    </r>
  </si>
  <si>
    <r>
      <rPr>
        <sz val="12"/>
        <color rgb="FF000000"/>
        <rFont val="宋体"/>
        <family val="3"/>
        <charset val="134"/>
      </rPr>
      <t>可重复性</t>
    </r>
    <r>
      <rPr>
        <sz val="12"/>
        <color rgb="FF000000"/>
        <rFont val="Times New Roman"/>
        <family val="1"/>
      </rPr>
      <t xml:space="preserve">
Reproducibility</t>
    </r>
  </si>
  <si>
    <r>
      <rPr>
        <sz val="12"/>
        <color rgb="FF000000"/>
        <rFont val="宋体"/>
        <family val="3"/>
        <charset val="134"/>
      </rPr>
      <t>重新产生针对此一威胁的攻击的困难程度</t>
    </r>
    <r>
      <rPr>
        <sz val="12"/>
        <color rgb="FF000000"/>
        <rFont val="Times New Roman"/>
        <family val="1"/>
      </rPr>
      <t>?
How difficult is it to reproduce attack against such threat?</t>
    </r>
  </si>
  <si>
    <r>
      <rPr>
        <sz val="12"/>
        <color rgb="FF000000"/>
        <rFont val="宋体"/>
        <family val="3"/>
        <charset val="134"/>
      </rPr>
      <t>攻击可以不停重制且不需要暂停时间</t>
    </r>
    <r>
      <rPr>
        <sz val="12"/>
        <color rgb="FF000000"/>
        <rFont val="Times New Roman"/>
        <family val="1"/>
      </rPr>
      <t xml:space="preserve">
Attack can reproduce continuely without pause.</t>
    </r>
  </si>
  <si>
    <r>
      <rPr>
        <sz val="12"/>
        <color rgb="FF000000"/>
        <rFont val="宋体"/>
        <family val="3"/>
        <charset val="134"/>
      </rPr>
      <t>攻击可以重制，但需要暂停时间</t>
    </r>
    <r>
      <rPr>
        <sz val="12"/>
        <color rgb="FF000000"/>
        <rFont val="Times New Roman"/>
        <family val="1"/>
      </rPr>
      <t xml:space="preserve">
Attack can only reproduce after pause.</t>
    </r>
  </si>
  <si>
    <r>
      <rPr>
        <sz val="12"/>
        <color rgb="FF000000"/>
        <rFont val="宋体"/>
        <family val="3"/>
        <charset val="134"/>
      </rPr>
      <t>攻击难以重制，或需要对弱点有深入知识才能重制</t>
    </r>
    <r>
      <rPr>
        <sz val="12"/>
        <color rgb="FF000000"/>
        <rFont val="Times New Roman"/>
        <family val="1"/>
      </rPr>
      <t xml:space="preserve">
Attack can hardly reproduce only by a person who has specialized skill.</t>
    </r>
  </si>
  <si>
    <r>
      <rPr>
        <sz val="12"/>
        <color rgb="FF000000"/>
        <rFont val="等线"/>
        <family val="3"/>
        <charset val="134"/>
      </rPr>
      <t xml:space="preserve">篡改 </t>
    </r>
    <r>
      <rPr>
        <sz val="12"/>
        <color rgb="FF000000"/>
        <rFont val="Times New Roman"/>
        <family val="1"/>
      </rPr>
      <t xml:space="preserve">Tampering </t>
    </r>
  </si>
  <si>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</si>
  <si>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</si>
  <si>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r>
      <rPr>
        <sz val="12"/>
        <color rgb="FF000000"/>
        <rFont val="宋体"/>
        <family val="3"/>
        <charset val="134"/>
      </rPr>
      <t>数据包注入攻击，即线路上的数据被修改。这种威胁的漏洞是在链路上发送的数据缺乏完整性；</t>
    </r>
    <r>
      <rPr>
        <sz val="12"/>
        <color rgb="FF000000"/>
        <rFont val="Times New Roman"/>
        <family val="1"/>
      </rPr>
      <t xml:space="preserve">
</t>
    </r>
    <r>
      <rPr>
        <sz val="12"/>
        <color rgb="FF000000"/>
        <rFont val="宋体"/>
        <family val="3"/>
        <charset val="134"/>
      </rPr>
      <t>在没有授权检查的情况下修改文件数据。这种威胁的漏洞是缺少访问检查、缓冲区溢出、没有完整性检查等；</t>
    </r>
    <r>
      <rPr>
        <sz val="12"/>
        <color rgb="FF000000"/>
        <rFont val="Times New Roman"/>
        <family val="1"/>
      </rPr>
      <t xml:space="preserve">
</t>
    </r>
    <r>
      <rPr>
        <sz val="12"/>
        <color rgb="FF000000"/>
        <rFont val="宋体"/>
        <family val="3"/>
        <charset val="134"/>
      </rPr>
      <t>由于执行错误的代码导致的数据损坏。漏洞包括未处理的内存分配失败，未初始化的内存，使用释放的内存资源，以及除以零等错误计算；</t>
    </r>
    <r>
      <rPr>
        <sz val="12"/>
        <color rgb="FF000000"/>
        <rFont val="Times New Roman"/>
        <family val="1"/>
      </rPr>
      <t xml:space="preserve">
</t>
    </r>
    <r>
      <rPr>
        <sz val="12"/>
        <color rgb="FF000000"/>
        <rFont val="宋体"/>
        <family val="3"/>
        <charset val="134"/>
      </rPr>
      <t>数据被木马和病毒破坏或修改。漏洞是指软件对木马病毒的易感性。</t>
    </r>
  </si>
  <si>
    <r>
      <rPr>
        <sz val="12"/>
        <color rgb="FF000000"/>
        <rFont val="宋体"/>
        <family val="3"/>
        <charset val="134"/>
      </rPr>
      <t>可利用性</t>
    </r>
    <r>
      <rPr>
        <sz val="12"/>
        <color rgb="FF000000"/>
        <rFont val="Times New Roman"/>
        <family val="1"/>
      </rPr>
      <t xml:space="preserve">
Exploitability</t>
    </r>
  </si>
  <si>
    <r>
      <rPr>
        <sz val="12"/>
        <color rgb="FF000000"/>
        <rFont val="宋体"/>
        <family val="3"/>
        <charset val="134"/>
      </rPr>
      <t>发动攻击的困难程度</t>
    </r>
    <r>
      <rPr>
        <sz val="12"/>
        <color rgb="FF000000"/>
        <rFont val="Times New Roman"/>
        <family val="1"/>
      </rPr>
      <t xml:space="preserve">?
How difficult is it to launch such attack? </t>
    </r>
  </si>
  <si>
    <r>
      <rPr>
        <sz val="12"/>
        <color rgb="FF000000"/>
        <rFont val="宋体"/>
        <family val="3"/>
        <charset val="134"/>
      </rPr>
      <t>不具有相关技能者也可以发动攻击</t>
    </r>
    <r>
      <rPr>
        <sz val="12"/>
        <color rgb="FF000000"/>
        <rFont val="Times New Roman"/>
        <family val="1"/>
      </rPr>
      <t xml:space="preserve">
Some users who can launch attack without relevant skills.</t>
    </r>
  </si>
  <si>
    <r>
      <rPr>
        <sz val="12"/>
        <color rgb="FF000000"/>
        <rFont val="宋体"/>
        <family val="3"/>
        <charset val="134"/>
      </rPr>
      <t>具有相关技能者可以发动攻击</t>
    </r>
    <r>
      <rPr>
        <sz val="12"/>
        <color rgb="FF000000"/>
        <rFont val="Times New Roman"/>
        <family val="1"/>
      </rPr>
      <t xml:space="preserve">
Some users who can launch with relevant skills.</t>
    </r>
  </si>
  <si>
    <r>
      <rPr>
        <sz val="12"/>
        <color rgb="FF000000"/>
        <rFont val="宋体"/>
        <family val="3"/>
        <charset val="134"/>
      </rPr>
      <t xml:space="preserve">需要对弱点有深入知识才能发动攻击
</t>
    </r>
    <r>
      <rPr>
        <sz val="12"/>
        <color rgb="FF000000"/>
        <rFont val="Times New Roman"/>
        <family val="1"/>
      </rPr>
      <t>Some users who can launch only with specialized skills.</t>
    </r>
  </si>
  <si>
    <r>
      <rPr>
        <sz val="12"/>
        <color rgb="FF000000"/>
        <rFont val="宋体"/>
        <family val="3"/>
        <charset val="134"/>
      </rPr>
      <t xml:space="preserve">抵赖 </t>
    </r>
    <r>
      <rPr>
        <sz val="12"/>
        <color rgb="FF000000"/>
        <rFont val="Times New Roman"/>
        <family val="1"/>
      </rPr>
      <t>Repudiation</t>
    </r>
  </si>
  <si>
    <t>不受信任的用户在进行非法操作时没有被追踪的能力。可抵赖性威胁与用户（恶意的或其他的）有关，他们可以否认错误的行为，而没有任何方法可以证明。</t>
  </si>
  <si>
    <t>不可抵赖性</t>
  </si>
  <si>
    <r>
      <rPr>
        <sz val="12"/>
        <color rgb="FF000000"/>
        <rFont val="宋体"/>
        <family val="3"/>
        <charset val="134"/>
      </rPr>
      <t>未被发现的攻击者闯入用户账户的尝试。缺少失败的登录审计的漏洞。</t>
    </r>
    <r>
      <rPr>
        <sz val="12"/>
        <color rgb="FF000000"/>
        <rFont val="Times New Roman"/>
        <family val="1"/>
      </rPr>
      <t xml:space="preserve">
</t>
    </r>
    <r>
      <rPr>
        <sz val="12"/>
        <color rgb="FF000000"/>
        <rFont val="宋体"/>
        <family val="3"/>
        <charset val="134"/>
      </rPr>
      <t>用户无意中或恶意地删除了敏感文件。缺少对对象访问的成功审计的漏洞。</t>
    </r>
    <r>
      <rPr>
        <sz val="12"/>
        <color rgb="FF000000"/>
        <rFont val="Times New Roman"/>
        <family val="1"/>
      </rPr>
      <t xml:space="preserve">
</t>
    </r>
    <r>
      <rPr>
        <sz val="12"/>
        <color rgb="FF000000"/>
        <rFont val="宋体"/>
        <family val="3"/>
        <charset val="134"/>
      </rPr>
      <t>恶意用户有能力拒绝发送消息。在接受信息之前缺乏信息签名和签名验证的漏洞。</t>
    </r>
  </si>
  <si>
    <r>
      <rPr>
        <sz val="12"/>
        <color rgb="FF000000"/>
        <rFont val="宋体"/>
        <family val="3"/>
        <charset val="134"/>
      </rPr>
      <t>影响使用者数</t>
    </r>
    <r>
      <rPr>
        <sz val="12"/>
        <color rgb="FF000000"/>
        <rFont val="Times New Roman"/>
        <family val="1"/>
      </rPr>
      <t xml:space="preserve">
Affected users </t>
    </r>
  </si>
  <si>
    <r>
      <rPr>
        <sz val="12"/>
        <color rgb="FF000000"/>
        <rFont val="宋体"/>
        <family val="3"/>
        <charset val="134"/>
      </rPr>
      <t>受影响的使用者人数</t>
    </r>
    <r>
      <rPr>
        <sz val="12"/>
        <color rgb="FF000000"/>
        <rFont val="Times New Roman"/>
        <family val="1"/>
      </rPr>
      <t>(</t>
    </r>
    <r>
      <rPr>
        <sz val="12"/>
        <color rgb="FF000000"/>
        <rFont val="宋体"/>
        <family val="3"/>
        <charset val="134"/>
      </rPr>
      <t>设备</t>
    </r>
    <r>
      <rPr>
        <sz val="12"/>
        <color rgb="FF000000"/>
        <rFont val="Times New Roman"/>
        <family val="1"/>
      </rPr>
      <t>)?
How many users(hardware devices) will be influenced?</t>
    </r>
  </si>
  <si>
    <r>
      <rPr>
        <sz val="12"/>
        <color rgb="FF000000"/>
        <rFont val="宋体"/>
        <family val="3"/>
        <charset val="134"/>
      </rPr>
      <t>所有的使用者</t>
    </r>
    <r>
      <rPr>
        <sz val="12"/>
        <color rgb="FF000000"/>
        <rFont val="Times New Roman"/>
        <family val="1"/>
      </rPr>
      <t>(</t>
    </r>
    <r>
      <rPr>
        <sz val="12"/>
        <color rgb="FF000000"/>
        <rFont val="宋体"/>
        <family val="3"/>
        <charset val="134"/>
      </rPr>
      <t>设备</t>
    </r>
    <r>
      <rPr>
        <sz val="12"/>
        <color rgb="FF000000"/>
        <rFont val="Times New Roman"/>
        <family val="1"/>
      </rPr>
      <t>)
All users (hardware devices)</t>
    </r>
  </si>
  <si>
    <r>
      <rPr>
        <sz val="12"/>
        <color rgb="FF000000"/>
        <rFont val="宋体"/>
        <family val="3"/>
        <charset val="134"/>
      </rPr>
      <t>部分使用者</t>
    </r>
    <r>
      <rPr>
        <sz val="12"/>
        <color rgb="FF000000"/>
        <rFont val="Times New Roman"/>
        <family val="1"/>
      </rPr>
      <t>(</t>
    </r>
    <r>
      <rPr>
        <sz val="12"/>
        <color rgb="FF000000"/>
        <rFont val="宋体"/>
        <family val="3"/>
        <charset val="134"/>
      </rPr>
      <t>设备</t>
    </r>
    <r>
      <rPr>
        <sz val="12"/>
        <color rgb="FF000000"/>
        <rFont val="Times New Roman"/>
        <family val="1"/>
      </rPr>
      <t>)
Partial users (hardware devices)</t>
    </r>
  </si>
  <si>
    <r>
      <rPr>
        <sz val="12"/>
        <color rgb="FF000000"/>
        <rFont val="宋体"/>
        <family val="3"/>
        <charset val="134"/>
      </rPr>
      <t>极低比例的使用者</t>
    </r>
    <r>
      <rPr>
        <sz val="12"/>
        <color rgb="FF000000"/>
        <rFont val="Times New Roman"/>
        <family val="1"/>
      </rPr>
      <t>(</t>
    </r>
    <r>
      <rPr>
        <sz val="12"/>
        <color rgb="FF000000"/>
        <rFont val="宋体"/>
        <family val="3"/>
        <charset val="134"/>
      </rPr>
      <t>设备</t>
    </r>
    <r>
      <rPr>
        <sz val="12"/>
        <color rgb="FF000000"/>
        <rFont val="Times New Roman"/>
        <family val="1"/>
      </rPr>
      <t>)
users (hardware devices) in extremely low percentage.</t>
    </r>
  </si>
  <si>
    <r>
      <rPr>
        <sz val="12"/>
        <color rgb="FF000000"/>
        <rFont val="宋体"/>
        <family val="3"/>
        <charset val="134"/>
      </rPr>
      <t xml:space="preserve">信息泄露 </t>
    </r>
    <r>
      <rPr>
        <sz val="12"/>
        <color rgb="FF000000"/>
        <rFont val="Times New Roman"/>
        <family val="1"/>
      </rPr>
      <t>information disclosure</t>
    </r>
  </si>
  <si>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</si>
  <si>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</si>
  <si>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r>
      <rPr>
        <sz val="12"/>
        <color rgb="FF000000"/>
        <rFont val="宋体"/>
        <family val="3"/>
        <charset val="134"/>
      </rPr>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t>
    </r>
    <r>
      <rPr>
        <sz val="12"/>
        <color rgb="FF000000"/>
        <rFont val="Times New Roman"/>
        <family val="1"/>
      </rPr>
      <t xml:space="preserve">
</t>
    </r>
    <r>
      <rPr>
        <sz val="12"/>
        <color rgb="FF000000"/>
        <rFont val="宋体"/>
        <family val="3"/>
        <charset val="134"/>
      </rPr>
      <t>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t>
    </r>
    <r>
      <rPr>
        <sz val="12"/>
        <color rgb="FF000000"/>
        <rFont val="Times New Roman"/>
        <family val="1"/>
      </rPr>
      <t xml:space="preserve">
</t>
    </r>
    <r>
      <rPr>
        <sz val="12"/>
        <color rgb="FF000000"/>
        <rFont val="宋体"/>
        <family val="3"/>
        <charset val="134"/>
      </rPr>
      <t>未经授权获取数据。漏掉冒充客户端的服务器或不进行访问检查就返回数据的服务器（即使他们进行了冒充）就是例子。漏洞包括漏掉的冒充（即客户端获得对服务器所能访问的任何东西的访问权）或漏掉的访问检查。</t>
    </r>
  </si>
  <si>
    <r>
      <rPr>
        <sz val="12"/>
        <color rgb="FF000000"/>
        <rFont val="宋体"/>
        <family val="3"/>
        <charset val="134"/>
      </rPr>
      <t>可发现性</t>
    </r>
    <r>
      <rPr>
        <sz val="12"/>
        <color rgb="FF000000"/>
        <rFont val="Times New Roman"/>
        <family val="1"/>
      </rPr>
      <t xml:space="preserve">
Discoverability</t>
    </r>
  </si>
  <si>
    <r>
      <rPr>
        <sz val="12"/>
        <color rgb="FF000000"/>
        <rFont val="宋体"/>
        <family val="3"/>
        <charset val="134"/>
      </rPr>
      <t>发现弱点的困难程度</t>
    </r>
    <r>
      <rPr>
        <sz val="12"/>
        <color rgb="FF000000"/>
        <rFont val="Times New Roman"/>
        <family val="1"/>
      </rPr>
      <t>?
How difficult is it to discover the relevant vulnerability?</t>
    </r>
  </si>
  <si>
    <r>
      <rPr>
        <sz val="12"/>
        <color rgb="FF000000"/>
        <rFont val="宋体"/>
        <family val="3"/>
        <charset val="134"/>
      </rPr>
      <t>公开资讯已揭露攻击手法及漏洞</t>
    </r>
    <r>
      <rPr>
        <sz val="12"/>
        <color rgb="FF000000"/>
        <rFont val="Times New Roman"/>
        <family val="1"/>
      </rPr>
      <t xml:space="preserve">
Attack method and relevant vulnerability has been discovered and released in public.</t>
    </r>
  </si>
  <si>
    <r>
      <rPr>
        <sz val="12"/>
        <color rgb="FF000000"/>
        <rFont val="宋体"/>
        <family val="3"/>
        <charset val="134"/>
      </rPr>
      <t>已被找到相关的资讯，但漏洞尚未被揭露</t>
    </r>
    <r>
      <rPr>
        <sz val="12"/>
        <color rgb="FF000000"/>
        <rFont val="Times New Roman"/>
        <family val="1"/>
      </rPr>
      <t xml:space="preserve">
The relevant information has been publised but no vulnerability discovered.</t>
    </r>
  </si>
  <si>
    <r>
      <rPr>
        <sz val="12"/>
        <color rgb="FF000000"/>
        <rFont val="宋体"/>
        <family val="3"/>
        <charset val="134"/>
      </rPr>
      <t>极少用到的功能且使用者难以找出漏洞</t>
    </r>
    <r>
      <rPr>
        <sz val="12"/>
        <color rgb="FF000000"/>
        <rFont val="Times New Roman"/>
        <family val="1"/>
      </rPr>
      <t xml:space="preserve">
The vulnerability is hard to be discovered because it exists in function which is scarcely activated.  </t>
    </r>
  </si>
  <si>
    <r>
      <rPr>
        <sz val="12"/>
        <color rgb="FF000000"/>
        <rFont val="宋体"/>
        <family val="3"/>
        <charset val="134"/>
      </rPr>
      <t xml:space="preserve">拒绝服务 </t>
    </r>
    <r>
      <rPr>
        <sz val="12"/>
        <color rgb="FF000000"/>
        <rFont val="Times New Roman"/>
        <family val="1"/>
      </rPr>
      <t>Denial of service</t>
    </r>
  </si>
  <si>
    <t>系统暂时不可用或无法使用，例如那些可以强制重启或重新启动用户机器的攻击。当攻击者能够暂时使系统资源（处理时间、存储等）不可用或无法使用时，就存在拒绝服务的威胁。</t>
  </si>
  <si>
    <t>可用性</t>
  </si>
  <si>
    <r>
      <rPr>
        <sz val="12"/>
        <color rgb="FF000000"/>
        <rFont val="Times New Roman"/>
        <family val="1"/>
      </rPr>
      <t>SYN</t>
    </r>
    <r>
      <rPr>
        <sz val="12"/>
        <color rgb="FF000000"/>
        <rFont val="宋体"/>
        <family val="3"/>
        <charset val="134"/>
      </rPr>
      <t>攻击和数据包炸弹，利用各种网络协议漏洞，导致服务器崩溃；</t>
    </r>
    <r>
      <rPr>
        <sz val="12"/>
        <color rgb="FF000000"/>
        <rFont val="Times New Roman"/>
        <family val="1"/>
      </rPr>
      <t xml:space="preserve">
</t>
    </r>
    <r>
      <rPr>
        <sz val="12"/>
        <color rgb="FF000000"/>
        <rFont val="宋体"/>
        <family val="3"/>
        <charset val="134"/>
      </rPr>
      <t>复杂的缓冲区溢出问题，如没有长度的参数，可以导致服务器追逐一个不存在的内存位置而崩溃。同样地，</t>
    </r>
    <r>
      <rPr>
        <sz val="12"/>
        <color rgb="FF000000"/>
        <rFont val="Times New Roman"/>
        <family val="1"/>
      </rPr>
      <t>GetAdmin</t>
    </r>
    <r>
      <rPr>
        <sz val="12"/>
        <color rgb="FF000000"/>
        <rFont val="宋体"/>
        <family val="3"/>
        <charset val="134"/>
      </rPr>
      <t>式的手工堆栈可以导致特权指令关闭系统；</t>
    </r>
    <r>
      <rPr>
        <sz val="12"/>
        <color rgb="FF000000"/>
        <rFont val="Times New Roman"/>
        <family val="1"/>
      </rPr>
      <t xml:space="preserve">
</t>
    </r>
    <r>
      <rPr>
        <sz val="12"/>
        <color rgb="FF000000"/>
        <rFont val="宋体"/>
        <family val="3"/>
        <charset val="134"/>
      </rPr>
      <t>常见的编码错误，如未处理的内存分配失败（引用无效的指针）、未初始化的内存（使用的数据不好）、使用释放的内存和资源（引用无效的内存），以及计算错误（除以</t>
    </r>
    <r>
      <rPr>
        <sz val="12"/>
        <color rgb="FF000000"/>
        <rFont val="Times New Roman"/>
        <family val="1"/>
      </rPr>
      <t>0</t>
    </r>
    <r>
      <rPr>
        <sz val="12"/>
        <color rgb="FF000000"/>
        <rFont val="宋体"/>
        <family val="3"/>
        <charset val="134"/>
      </rPr>
      <t>），都会引起异常，使软件崩溃；</t>
    </r>
    <r>
      <rPr>
        <sz val="12"/>
        <color rgb="FF000000"/>
        <rFont val="Times New Roman"/>
        <family val="1"/>
      </rPr>
      <t xml:space="preserve">
</t>
    </r>
    <r>
      <rPr>
        <sz val="12"/>
        <color rgb="FF000000"/>
        <rFont val="宋体"/>
        <family val="3"/>
        <charset val="134"/>
      </rPr>
      <t>薄弱的软件设计（设计中固有的或由于错误的配置），如一个进程占用了所有的</t>
    </r>
    <r>
      <rPr>
        <sz val="12"/>
        <color rgb="FF000000"/>
        <rFont val="Times New Roman"/>
        <family val="1"/>
      </rPr>
      <t>CPU</t>
    </r>
    <r>
      <rPr>
        <sz val="12"/>
        <color rgb="FF000000"/>
        <rFont val="宋体"/>
        <family val="3"/>
        <charset val="134"/>
      </rPr>
      <t>时间。</t>
    </r>
  </si>
  <si>
    <r>
      <rPr>
        <sz val="12"/>
        <color rgb="FF000000"/>
        <rFont val="宋体"/>
        <family val="3"/>
        <charset val="134"/>
      </rPr>
      <t xml:space="preserve">特权提升 </t>
    </r>
    <r>
      <rPr>
        <sz val="12"/>
        <color rgb="FF000000"/>
        <rFont val="Times New Roman"/>
        <family val="1"/>
      </rPr>
      <t>elevation of previlege</t>
    </r>
  </si>
  <si>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</si>
  <si>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授权性</t>
  </si>
  <si>
    <r>
      <rPr>
        <sz val="12"/>
        <color rgb="FF000000"/>
        <rFont val="宋体"/>
        <family val="3"/>
        <charset val="134"/>
      </rPr>
      <t>缓冲区超限，如</t>
    </r>
    <r>
      <rPr>
        <sz val="12"/>
        <color rgb="FF000000"/>
        <rFont val="Times New Roman"/>
        <family val="1"/>
      </rPr>
      <t>GetAdmin</t>
    </r>
    <r>
      <rPr>
        <sz val="12"/>
        <color rgb="FF000000"/>
        <rFont val="宋体"/>
        <family val="3"/>
        <charset val="134"/>
      </rPr>
      <t>攻击中的手工堆栈，导致用户代码以高权限执行，从而危及整个操作系统的可信计算基础；</t>
    </r>
    <r>
      <rPr>
        <sz val="12"/>
        <color rgb="FF000000"/>
        <rFont val="Times New Roman"/>
        <family val="1"/>
      </rPr>
      <t xml:space="preserve">
</t>
    </r>
    <r>
      <rPr>
        <sz val="12"/>
        <color rgb="FF000000"/>
        <rFont val="宋体"/>
        <family val="3"/>
        <charset val="134"/>
      </rPr>
      <t>在未经授权用户同意的情况下运行可执行文件的能力，可以使犯罪者进行特权操作，例如使自己成为特权用户；</t>
    </r>
    <r>
      <rPr>
        <sz val="12"/>
        <color rgb="FF000000"/>
        <rFont val="Times New Roman"/>
        <family val="1"/>
      </rPr>
      <t xml:space="preserve">
</t>
    </r>
    <r>
      <rPr>
        <sz val="12"/>
        <color rgb="FF000000"/>
        <rFont val="宋体"/>
        <family val="3"/>
        <charset val="134"/>
      </rPr>
      <t>安全子系统本身的访问检查缺失或不当，会导致权限提升。例如，如果管理员的组成员资格在没有访问检查的情况下被更新，就会使一个未经授权的用户成为系统管理员。</t>
    </r>
  </si>
  <si>
    <r>
      <rPr>
        <sz val="12"/>
        <color rgb="FF000000"/>
        <rFont val="標楷體"/>
        <family val="3"/>
        <charset val="134"/>
      </rPr>
      <t>风险值计算公式</t>
    </r>
    <r>
      <rPr>
        <sz val="12"/>
        <color rgb="FF000000"/>
        <rFont val="Times New Roman"/>
        <family val="1"/>
      </rPr>
      <t xml:space="preserve">
Risk value formula</t>
    </r>
  </si>
  <si>
    <r>
      <rPr>
        <sz val="12"/>
        <color rgb="FF000000"/>
        <rFont val="宋体"/>
        <family val="3"/>
        <charset val="134"/>
      </rPr>
      <t>风险值</t>
    </r>
    <r>
      <rPr>
        <sz val="12"/>
        <color rgb="FF000000"/>
        <rFont val="Times New Roman"/>
        <family val="1"/>
      </rPr>
      <t xml:space="preserve">(( Risk value )  = </t>
    </r>
    <r>
      <rPr>
        <sz val="12"/>
        <color rgb="FF000000"/>
        <rFont val="宋体"/>
        <family val="3"/>
        <charset val="134"/>
      </rPr>
      <t>可能性 * 严重性
其中，可能性</t>
    </r>
    <r>
      <rPr>
        <sz val="12"/>
        <color rgb="FF000000"/>
        <rFont val="Times New Roman"/>
        <family val="1"/>
      </rPr>
      <t>L =</t>
    </r>
    <r>
      <rPr>
        <sz val="12"/>
        <color rgb="FF000000"/>
        <rFont val="宋体"/>
        <family val="3"/>
        <charset val="134"/>
      </rPr>
      <t>（可重复性</t>
    </r>
    <r>
      <rPr>
        <sz val="12"/>
        <color rgb="FF000000"/>
        <rFont val="Times New Roman"/>
        <family val="1"/>
      </rPr>
      <t>R</t>
    </r>
    <r>
      <rPr>
        <sz val="12"/>
        <color rgb="FF000000"/>
        <rFont val="宋体"/>
        <family val="3"/>
        <charset val="134"/>
      </rPr>
      <t>+可利用性</t>
    </r>
    <r>
      <rPr>
        <sz val="12"/>
        <color rgb="FF000000"/>
        <rFont val="Times New Roman"/>
        <family val="1"/>
      </rPr>
      <t>E+</t>
    </r>
    <r>
      <rPr>
        <sz val="12"/>
        <color rgb="FF000000"/>
        <rFont val="宋体"/>
        <family val="3"/>
        <charset val="134"/>
      </rPr>
      <t>可发现性</t>
    </r>
    <r>
      <rPr>
        <sz val="12"/>
        <color rgb="FF000000"/>
        <rFont val="Times New Roman"/>
        <family val="1"/>
      </rPr>
      <t>D</t>
    </r>
    <r>
      <rPr>
        <sz val="12"/>
        <color rgb="FF000000"/>
        <rFont val="宋体"/>
        <family val="3"/>
        <charset val="134"/>
      </rPr>
      <t>），严重性</t>
    </r>
    <r>
      <rPr>
        <sz val="12"/>
        <color rgb="FF000000"/>
        <rFont val="Times New Roman"/>
        <family val="1"/>
      </rPr>
      <t xml:space="preserve">S = </t>
    </r>
    <r>
      <rPr>
        <sz val="12"/>
        <color rgb="FF000000"/>
        <rFont val="宋体"/>
        <family val="3"/>
        <charset val="134"/>
      </rPr>
      <t>（危害性</t>
    </r>
    <r>
      <rPr>
        <sz val="12"/>
        <color rgb="FF000000"/>
        <rFont val="Times New Roman"/>
        <family val="1"/>
      </rPr>
      <t>D</t>
    </r>
    <r>
      <rPr>
        <sz val="12"/>
        <color rgb="FF000000"/>
        <rFont val="宋体"/>
        <family val="3"/>
        <charset val="134"/>
      </rPr>
      <t>＋受影响用户数</t>
    </r>
    <r>
      <rPr>
        <sz val="12"/>
        <color rgb="FF000000"/>
        <rFont val="Times New Roman"/>
        <family val="1"/>
      </rPr>
      <t>A</t>
    </r>
    <r>
      <rPr>
        <sz val="12"/>
        <color rgb="FF000000"/>
        <rFont val="宋体"/>
        <family val="3"/>
        <charset val="134"/>
      </rPr>
      <t>）</t>
    </r>
  </si>
  <si>
    <r>
      <rPr>
        <sz val="12"/>
        <color rgb="FF000000"/>
        <rFont val="Times New Roman"/>
        <family val="1"/>
      </rPr>
      <t>DREAD</t>
    </r>
    <r>
      <rPr>
        <sz val="12"/>
        <color rgb="FF000000"/>
        <rFont val="宋体"/>
        <family val="3"/>
        <charset val="134"/>
      </rPr>
      <t>分数最低</t>
    </r>
    <r>
      <rPr>
        <sz val="12"/>
        <color rgb="FF000000"/>
        <rFont val="Times New Roman"/>
        <family val="1"/>
      </rPr>
      <t>(6</t>
    </r>
    <r>
      <rPr>
        <sz val="12"/>
        <color rgb="FF000000"/>
        <rFont val="宋体"/>
        <family val="3"/>
        <charset val="134"/>
      </rPr>
      <t>分</t>
    </r>
    <r>
      <rPr>
        <sz val="12"/>
        <color rgb="FF000000"/>
        <rFont val="Times New Roman"/>
        <family val="1"/>
      </rPr>
      <t>)</t>
    </r>
    <r>
      <rPr>
        <sz val="12"/>
        <color rgb="FF000000"/>
        <rFont val="宋体"/>
        <family val="3"/>
        <charset val="134"/>
      </rPr>
      <t>至最高</t>
    </r>
    <r>
      <rPr>
        <sz val="12"/>
        <color rgb="FF000000"/>
        <rFont val="Times New Roman"/>
        <family val="1"/>
      </rPr>
      <t>(54</t>
    </r>
    <r>
      <rPr>
        <sz val="12"/>
        <color rgb="FF000000"/>
        <rFont val="宋体"/>
        <family val="3"/>
        <charset val="134"/>
      </rPr>
      <t>分</t>
    </r>
    <r>
      <rPr>
        <sz val="12"/>
        <color rgb="FF000000"/>
        <rFont val="Times New Roman"/>
        <family val="1"/>
      </rPr>
      <t>)</t>
    </r>
    <r>
      <rPr>
        <sz val="12"/>
        <color rgb="FF000000"/>
        <rFont val="宋体"/>
        <family val="3"/>
        <charset val="134"/>
      </rPr>
      <t>排定风险程度之等级</t>
    </r>
    <r>
      <rPr>
        <sz val="12"/>
        <color rgb="FF000000"/>
        <rFont val="Times New Roman"/>
        <family val="1"/>
      </rPr>
      <t xml:space="preserve">  :
Rank the risk level from the lowest DREAD score (6 points) to the highest (54 points):</t>
    </r>
  </si>
  <si>
    <r>
      <rPr>
        <sz val="12"/>
        <color rgb="FF000000"/>
        <rFont val="標楷體"/>
        <family val="3"/>
        <charset val="134"/>
      </rPr>
      <t>风险等级</t>
    </r>
    <r>
      <rPr>
        <sz val="12"/>
        <color rgb="FF000000"/>
        <rFont val="Times New Roman"/>
        <family val="1"/>
      </rPr>
      <t xml:space="preserve">
Risk level</t>
    </r>
  </si>
  <si>
    <r>
      <rPr>
        <sz val="12"/>
        <color rgb="FF000000"/>
        <rFont val="標楷體"/>
        <family val="3"/>
        <charset val="134"/>
      </rPr>
      <t>风险值范围</t>
    </r>
    <r>
      <rPr>
        <sz val="12"/>
        <color rgb="FF000000"/>
        <rFont val="Times New Roman"/>
        <family val="1"/>
      </rPr>
      <t xml:space="preserve">
Risk value range</t>
    </r>
  </si>
  <si>
    <r>
      <rPr>
        <sz val="12"/>
        <color rgb="FF000000"/>
        <rFont val="標楷體"/>
        <family val="3"/>
        <charset val="134"/>
      </rPr>
      <t>高度风险</t>
    </r>
    <r>
      <rPr>
        <sz val="12"/>
        <color rgb="FF000000"/>
        <rFont val="Times New Roman"/>
        <family val="1"/>
      </rPr>
      <t xml:space="preserve">
High</t>
    </r>
  </si>
  <si>
    <t>32 ~ 54</t>
  </si>
  <si>
    <r>
      <rPr>
        <sz val="12"/>
        <color rgb="FF000000"/>
        <rFont val="標楷體"/>
        <family val="3"/>
        <charset val="134"/>
      </rPr>
      <t>中度风险</t>
    </r>
    <r>
      <rPr>
        <sz val="12"/>
        <color rgb="FF000000"/>
        <rFont val="Times New Roman"/>
        <family val="1"/>
      </rPr>
      <t xml:space="preserve">
Medium</t>
    </r>
  </si>
  <si>
    <t>18 ~ 30</t>
  </si>
  <si>
    <r>
      <rPr>
        <sz val="12"/>
        <color rgb="FF000000"/>
        <rFont val="標楷體"/>
        <family val="3"/>
        <charset val="134"/>
      </rPr>
      <t>低度风险</t>
    </r>
    <r>
      <rPr>
        <sz val="12"/>
        <color rgb="FF000000"/>
        <rFont val="Times New Roman"/>
        <family val="1"/>
      </rPr>
      <t xml:space="preserve">
Low </t>
    </r>
  </si>
  <si>
    <t>6 ~ 16</t>
  </si>
  <si>
    <t>风险等级
Risk level</t>
  </si>
  <si>
    <t>风险处置决策
Risk treatment decision</t>
  </si>
  <si>
    <t>高度风险
High</t>
  </si>
  <si>
    <t>中度风险
Medium</t>
  </si>
  <si>
    <t xml:space="preserve">低度风险
Low </t>
  </si>
  <si>
    <t>风险处置的目标：是降低或缓解风险，以便剩余风险可接受。</t>
  </si>
  <si>
    <t>风险处置决策</t>
  </si>
  <si>
    <t>说明</t>
  </si>
  <si>
    <t>风险规避</t>
  </si>
  <si>
    <r>
      <rPr>
        <sz val="10"/>
        <color rgb="FF000000"/>
        <rFont val="Microsoft YaHei"/>
        <family val="2"/>
        <charset val="134"/>
      </rPr>
      <t>风险规避涉及</t>
    </r>
    <r>
      <rPr>
        <sz val="10"/>
        <color rgb="FFFF0000"/>
        <rFont val="Microsoft YaHei"/>
        <family val="2"/>
        <charset val="134"/>
      </rPr>
      <t>移除产品中的某些组件</t>
    </r>
    <r>
      <rPr>
        <sz val="10"/>
        <color rgb="FF000000"/>
        <rFont val="Microsoft YaHei"/>
        <family val="2"/>
        <charset val="134"/>
      </rPr>
      <t>，或</t>
    </r>
    <r>
      <rPr>
        <sz val="10"/>
        <color rgb="FFFF0000"/>
        <rFont val="Microsoft YaHei"/>
        <family val="2"/>
        <charset val="134"/>
      </rPr>
      <t>修改产品的上下文</t>
    </r>
    <r>
      <rPr>
        <sz val="10"/>
        <color rgb="FF000000"/>
        <rFont val="Microsoft YaHei"/>
        <family val="2"/>
        <charset val="134"/>
      </rPr>
      <t>，以避免与这些相关的风险。这可以通过例如使用内存安全编程语言来帮助避免某些类别的漏洞。</t>
    </r>
  </si>
  <si>
    <r>
      <rPr>
        <sz val="10"/>
        <color rgb="FF000000"/>
        <rFont val="Microsoft YaHei"/>
        <family val="2"/>
        <charset val="134"/>
      </rPr>
      <t>修改产品上下文需要</t>
    </r>
    <r>
      <rPr>
        <sz val="10"/>
        <color rgb="FFFF0000"/>
        <rFont val="Microsoft YaHei"/>
        <family val="2"/>
        <charset val="134"/>
      </rPr>
      <t>重新评估风险</t>
    </r>
    <r>
      <rPr>
        <sz val="10"/>
        <color rgb="FF000000"/>
        <rFont val="Microsoft YaHei"/>
        <family val="2"/>
        <charset val="134"/>
      </rPr>
      <t>。</t>
    </r>
  </si>
  <si>
    <t>Risk Avoidance</t>
  </si>
  <si>
    <t>风险缓解</t>
  </si>
  <si>
    <r>
      <rPr>
        <sz val="10"/>
        <color rgb="FF000000"/>
        <rFont val="Microsoft YaHei"/>
        <family val="2"/>
        <charset val="134"/>
      </rPr>
      <t>并非所有风险都可以避免，对于无法避免的风险，应考虑如何减轻它们的风险。风险减轻涉及实施</t>
    </r>
    <r>
      <rPr>
        <sz val="10"/>
        <color rgb="FFFF0000"/>
        <rFont val="Microsoft YaHei"/>
        <family val="2"/>
        <charset val="134"/>
      </rPr>
      <t>降低特定威胁发生可能性</t>
    </r>
    <r>
      <rPr>
        <sz val="10"/>
        <color rgb="FF000000"/>
        <rFont val="Microsoft YaHei"/>
        <family val="2"/>
        <charset val="134"/>
      </rPr>
      <t>或潜在损失或中断程度的措施。</t>
    </r>
  </si>
  <si>
    <r>
      <rPr>
        <sz val="10"/>
        <color rgb="FF000000"/>
        <rFont val="Microsoft YaHei"/>
        <family val="2"/>
        <charset val="134"/>
      </rPr>
      <t>风险减轻需要</t>
    </r>
    <r>
      <rPr>
        <sz val="10"/>
        <color rgb="FFFF0000"/>
        <rFont val="Microsoft YaHei"/>
        <family val="2"/>
        <charset val="134"/>
      </rPr>
      <t>风险再评估</t>
    </r>
    <r>
      <rPr>
        <sz val="10"/>
        <color rgb="FF000000"/>
        <rFont val="Microsoft YaHei"/>
        <family val="2"/>
        <charset val="134"/>
      </rPr>
      <t>，因为减轻措施会改变现有风险并可能引入新的风险。</t>
    </r>
  </si>
  <si>
    <t>Risk Mitigation</t>
  </si>
  <si>
    <t>风险接受</t>
  </si>
  <si>
    <r>
      <rPr>
        <sz val="10"/>
        <color rgb="FF000000"/>
        <rFont val="Microsoft YaHei"/>
        <family val="2"/>
        <charset val="134"/>
      </rPr>
      <t>风险可以在</t>
    </r>
    <r>
      <rPr>
        <sz val="10"/>
        <color rgb="FFFF0000"/>
        <rFont val="Microsoft YaHei"/>
        <family val="2"/>
        <charset val="134"/>
      </rPr>
      <t>符合预先设定的风险接受标准的情况下被接受</t>
    </r>
    <r>
      <rPr>
        <sz val="10"/>
        <color rgb="FF000000"/>
        <rFont val="Microsoft YaHei"/>
        <family val="2"/>
        <charset val="134"/>
      </rPr>
      <t>。</t>
    </r>
  </si>
  <si>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</si>
  <si>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</si>
  <si>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r>
      <rPr>
        <sz val="10"/>
        <color rgb="FF000000"/>
        <rFont val="Microsoft YaHei"/>
        <family val="2"/>
        <charset val="134"/>
      </rPr>
      <t>对于某些产品，某些风险是固有的，如果不损害功能，就无法减轻或避免。这对于用作组件的产品尤其相关和普遍，</t>
    </r>
    <r>
      <rPr>
        <sz val="10"/>
        <color rgb="FFFF0000"/>
        <rFont val="Microsoft YaHei"/>
        <family val="2"/>
        <charset val="134"/>
      </rPr>
      <t>如果这些风险是产品功能的固有部分，在考虑产品背景的情况下，其存在可能被视为可接受的</t>
    </r>
    <r>
      <rPr>
        <sz val="10"/>
        <color rgb="FF000000"/>
        <rFont val="Microsoft YaHei"/>
        <family val="2"/>
        <charset val="134"/>
      </rPr>
      <t>。对于此类风险，当产品使用时，关键是要传达其存在以及减轻这些风险所需的措施。</t>
    </r>
  </si>
  <si>
    <t>风险转移</t>
  </si>
  <si>
    <r>
      <rPr>
        <sz val="10"/>
        <color rgb="FF000000"/>
        <rFont val="Microsoft YaHei"/>
        <family val="2"/>
        <charset val="134"/>
      </rPr>
      <t>任何在缓解后仍存在的风险，即使可以接受，本质上也不为零。这种</t>
    </r>
    <r>
      <rPr>
        <sz val="10"/>
        <color rgb="FFFF0000"/>
        <rFont val="Microsoft YaHei"/>
        <family val="2"/>
        <charset val="134"/>
      </rPr>
      <t>残余风险不会消失</t>
    </r>
    <r>
      <rPr>
        <sz val="10"/>
        <color rgb="FF000000"/>
        <rFont val="Microsoft YaHei"/>
        <family val="2"/>
        <charset val="134"/>
      </rPr>
      <t>，它转移到了产品的使用者。并非所有残余风险都需要沟通，但那些与预期用途和合理可预见的使用相关的风险通常是需要明确且易于理解地沟通的风险。</t>
    </r>
  </si>
  <si>
    <t>6.6（风险沟通）</t>
  </si>
  <si>
    <t>Risk Transfer</t>
  </si>
  <si>
    <t>缺少安全启动的事实需要深入硬件逆向才能发现，不易被外部攻击者轻易发现。</t>
    <phoneticPr fontId="1" type="noConversion"/>
  </si>
  <si>
    <t>风险处置措施不会影响风险的危害性评分</t>
    <phoneticPr fontId="1" type="noConversion"/>
  </si>
  <si>
    <t>需要物理接触设备（拆解、连接调试接口或编程器）或具备高级硬件攻击技能</t>
    <phoneticPr fontId="1" type="noConversion"/>
  </si>
  <si>
    <t>需要物理接触设备（拆解、连接调试接口或编程器）或具备绕过安全启动的高级硬件攻击技能</t>
    <phoneticPr fontId="1" type="noConversion"/>
  </si>
  <si>
    <t>如果无法确认各字段代表的意义，最多“泄漏系统细节资讯”（如原始字节值）。</t>
    <phoneticPr fontId="1" type="noConversion"/>
  </si>
  <si>
    <t>风险处置措施不影响风险危害性评分</t>
    <phoneticPr fontId="1" type="noConversion"/>
  </si>
  <si>
    <t>产品硬件版本</t>
    <phoneticPr fontId="1" type="noConversion"/>
  </si>
  <si>
    <t>产品软硬件版本号规则介绍</t>
    <phoneticPr fontId="1" type="noConversion"/>
  </si>
  <si>
    <t>可另附文档</t>
    <phoneticPr fontId="1" type="noConversion"/>
  </si>
  <si>
    <r>
      <rPr>
        <sz val="11"/>
        <color rgb="FF00B0F0"/>
        <rFont val="Microsoft YaHei"/>
        <family val="2"/>
        <charset val="134"/>
      </rPr>
      <t>EMU200A, EMU200B</t>
    </r>
    <r>
      <rPr>
        <sz val="11"/>
        <color rgb="FFFF0000"/>
        <rFont val="Microsoft YaHei"/>
        <family val="2"/>
        <charset val="134"/>
      </rPr>
      <t xml:space="preserve">, </t>
    </r>
    <r>
      <rPr>
        <sz val="11"/>
        <color rgb="FF000000"/>
        <rFont val="Microsoft YaHei"/>
        <family val="2"/>
        <charset val="134"/>
      </rPr>
      <t>EMU300A, EMU300B, EMU300C</t>
    </r>
    <phoneticPr fontId="1" type="noConversion"/>
  </si>
  <si>
    <t>1. 请提供EMU300A/Logger5000的标签照片或pdf
2. 请提供EMU300A/Logger5000的外部6面图、内部结构图、待评估组件的PCB板图，以及其他认证型号（EMU200A，EMU200B，EMU300B，EMU300C,Logger4000）在外观、内部结构、PCB板和测试版本的外观差异照片</t>
    <phoneticPr fontId="1" type="noConversion"/>
  </si>
  <si>
    <r>
      <t>产品构成（数字组件）</t>
    </r>
    <r>
      <rPr>
        <sz val="11"/>
        <color rgb="FF00B0F0"/>
        <rFont val="Microsoft YaHei"/>
        <family val="2"/>
        <charset val="134"/>
      </rPr>
      <t>（需要在HBOM和差异声明文档中列出不同EMU、Logger的差异）</t>
    </r>
    <phoneticPr fontId="1" type="noConversion"/>
  </si>
  <si>
    <t>EMU</t>
    <phoneticPr fontId="41" type="noConversion"/>
  </si>
  <si>
    <t>Component</t>
  </si>
  <si>
    <t>Version</t>
  </si>
  <si>
    <t>Description</t>
  </si>
  <si>
    <t>Remarks</t>
  </si>
  <si>
    <t>Switch</t>
  </si>
  <si>
    <t>MOXA EDS-408A-SS-SC-T v3.12</t>
  </si>
  <si>
    <t xml:space="preserve">L2 switch hardening with a security guidelines. </t>
    <phoneticPr fontId="41" type="noConversion"/>
  </si>
  <si>
    <t>--</t>
  </si>
  <si>
    <t>Logger4000</t>
    <phoneticPr fontId="41" type="noConversion"/>
  </si>
  <si>
    <t>LOGGER-SV400.001.01.P013</t>
  </si>
  <si>
    <t>Embedded web application and middleware.</t>
  </si>
  <si>
    <t>Functional components</t>
  </si>
  <si>
    <t>Electrical functional components.</t>
  </si>
  <si>
    <t xml:space="preserve">Cabinet </t>
  </si>
  <si>
    <t>Steel alloy.</t>
  </si>
  <si>
    <t>Tamper-evident seal mark</t>
  </si>
  <si>
    <t>A visible label or marking placed on the device to signal any unauthorized access attempts.</t>
    <phoneticPr fontId="41" type="noConversion"/>
  </si>
  <si>
    <t>Keys</t>
  </si>
  <si>
    <t>Physical key.</t>
  </si>
  <si>
    <t>Logger</t>
    <phoneticPr fontId="41" type="noConversion"/>
  </si>
  <si>
    <t>Logger4000</t>
  </si>
  <si>
    <t>OS</t>
  </si>
  <si>
    <t>Linux-based operating system.</t>
  </si>
  <si>
    <t>Bootloader</t>
  </si>
  <si>
    <t>Image for bringing up the kernel.</t>
  </si>
  <si>
    <t>Hardware</t>
  </si>
  <si>
    <t>P-A-0014731</t>
  </si>
  <si>
    <t>PCB assembly.</t>
  </si>
  <si>
    <t xml:space="preserve">Enclosure </t>
  </si>
  <si>
    <t>Tamper-evident seal</t>
  </si>
  <si>
    <t>Tamper detection mechanism for physical access to the SCU.</t>
  </si>
  <si>
    <t>产品照片、标签（单独提供）</t>
    <phoneticPr fontId="1" type="noConversion"/>
  </si>
  <si>
    <t>EMU基本原理图/Logger框图（单独提供）</t>
    <phoneticPr fontId="1" type="noConversion"/>
  </si>
  <si>
    <r>
      <t xml:space="preserve">产品预期用途以及合理可预见的使用
</t>
    </r>
    <r>
      <rPr>
        <sz val="11"/>
        <color rgb="FF00B0F0"/>
        <rFont val="Microsoft YaHei"/>
        <family val="2"/>
        <charset val="134"/>
      </rPr>
      <t>补充图片：1. 产品的功能介绍图。 2. 目标用户和可操作的接口对应介绍图 3. EMU的内部组件图需要增加IO（如果200和300都有，2个都要；如果只有300有就只在300A和300B的内部组件图上补充）</t>
    </r>
    <phoneticPr fontId="1" type="noConversion"/>
  </si>
  <si>
    <t>场景</t>
    <phoneticPr fontId="1" type="noConversion"/>
  </si>
  <si>
    <t>产品组成（该部分会展示在CB报告上，请在上次认证的基础上修订，需要能包含所有EMU和Logger型号）</t>
    <phoneticPr fontId="1" type="noConversion"/>
  </si>
  <si>
    <t>如果攻击仅影响非关键功能（UI显示、历史数据查询、非实时统计），且不影响实时调度、功率调节或设备控制，则风险可接受。</t>
    <phoneticPr fontId="1" type="noConversion"/>
  </si>
  <si>
    <r>
      <t>风险接受标准</t>
    </r>
    <r>
      <rPr>
        <b/>
        <sz val="12"/>
        <color rgb="FF00B0F0"/>
        <rFont val="Microsoft YaHei"/>
        <family val="2"/>
        <charset val="134"/>
      </rPr>
      <t>（蓝色为样例）</t>
    </r>
    <phoneticPr fontId="1" type="noConversion"/>
  </si>
  <si>
    <t>EMU Web界面历史数据曲线加载延迟或显示陈旧数据，但实时遥测和调度指令下发正常。</t>
    <phoneticPr fontId="1" type="noConversion"/>
  </si>
  <si>
    <t>历史数据查询属于管理分析功能，不参与实时调度闭环。需确保实时通道（GOOSE/IEC104/Modbus TCP遥测）与历史数据通道逻辑分离。</t>
    <phoneticPr fontId="1" type="noConversion"/>
  </si>
  <si>
    <t>如果攻击仅涉及公开或非敏感信息泄露，且不包含调度指令、设备参数、管理员凭证或个人身份信息，则风险可接受。</t>
    <phoneticPr fontId="1" type="noConversion"/>
  </si>
  <si>
    <t>EMU导出的运维操作日志（如登录时间、菜单点击记录、非敏感统计信息）在传输或存储过程中被未授权获取。</t>
    <phoneticPr fontId="1" type="noConversion"/>
  </si>
  <si>
    <t>日志已移除或模糊化管理员账号、设备内部参数等敏感字段，且不包含有功/无功调度指令或电网保护参数。日志中包含的IP地址或设备序列号应进行匿名化处理。</t>
    <phoneticPr fontId="1" type="noConversion"/>
  </si>
  <si>
    <t>如果攻击仅影响非关键功能的可用性（如报表生成、数据导出），且不影响核心监控与调度服务，则风险可接受。</t>
    <phoneticPr fontId="1" type="noConversion"/>
  </si>
  <si>
    <t>EMU的报表导出功能因资源占用过高而暂时不可用，但实时数据采集、转发和调度指令正常执行。</t>
    <phoneticPr fontId="1" type="noConversion"/>
  </si>
  <si>
    <t>报表导出属于辅助运维功能，不在实时控制链路中。系统应有资源隔离机制，确保辅助功能异常不影响核心业务。</t>
    <phoneticPr fontId="1" type="noConversion"/>
  </si>
  <si>
    <t>如果攻击导致的故障仅限于非安全关键的物理组件（如外壳、指示灯），且不影响设备的防护等级或电气安全，则风险可接受。</t>
    <phoneticPr fontId="1" type="noConversion"/>
  </si>
  <si>
    <t>EMU户外机柜外壳因轻微外力撞击出现划痕或变形，但机柜密封性、锁具、散热风扇等安全相关部件完好。</t>
    <phoneticPr fontId="1" type="noConversion"/>
  </si>
  <si>
    <t>需定期巡检确保损伤未影响IP防护等级。若划痕深度超过涂层厚度露出金属基材，应纳入常规维护计划。</t>
    <phoneticPr fontId="1" type="noConversion"/>
  </si>
  <si>
    <t>如果攻击导致的南向设备通信异常仅限于单台逆变器，且该逆变器不参与关键的电网调度闭环，则风险可接受。</t>
    <phoneticPr fontId="1" type="noConversion"/>
  </si>
  <si>
    <t>某台非关键逆变器的RS485通信因干扰短暂中断，不影响EMU对其他逆变器的数据采集和整体调度。</t>
    <phoneticPr fontId="1" type="noConversion"/>
  </si>
  <si>
    <t>需确保单个从站故障不影响总线其他设备通信。若该逆变器参与闭环功率调节，则不可接受。</t>
    <phoneticPr fontId="1" type="noConversion"/>
  </si>
  <si>
    <t>如果攻击仅导致Web界面的配置参数显示错误，但实际运行参数未被篡改，且调度指令仍由后台下发，则风险可接受。</t>
    <phoneticPr fontId="1" type="noConversion"/>
  </si>
  <si>
    <t>EMU Web界面因缓存问题显示过时的配置参数，但设备内部实际运行的调度参数正确，后台下发的指令正常执行。</t>
    <phoneticPr fontId="1" type="noConversion"/>
  </si>
  <si>
    <t>需确保显示层错误不影响实际控制参数。建议实施定期配置同步校验，并明确标记界面数据的时效性。</t>
    <phoneticPr fontId="1" type="noConversion"/>
  </si>
  <si>
    <t>如果攻击导致的非关键功能数据丢失（如历史统计、运行报表）不影响实时监控和调度，且数据可通过其他方式恢复，则风险可接受。</t>
    <phoneticPr fontId="1" type="noConversion"/>
  </si>
  <si>
    <t>EMU的历史运行统计因本地存储空间满而丢失部分早期数据，但实时遥测数据正常采集转发，且调度指令执行未受影响。</t>
    <phoneticPr fontId="1" type="noConversion"/>
  </si>
  <si>
    <t>历史统计数据丢失不影响当前设备控制。建议配置Syslog远程转发作为补充，并建立存储空间告警机制。</t>
    <phoneticPr fontId="1" type="noConversion"/>
  </si>
  <si>
    <t>62443-4-2 SL-2要求
62443-4-2 SL-2 RQ</t>
    <phoneticPr fontId="1" type="noConversion"/>
  </si>
  <si>
    <t>CR 1.3账户管理
该组件应提供直接或通过支持措施管理账户的能力。
CR 1.5身份验证器管理
该组件应直接或通过支持措施提供以下能力：
a） 支持初始认证器的配置和使用；
b） 支持识别在安装时对默认身份验证器所做的更改；
c） 更改/刷新验证器；和
d） 保护身份验证器在存储、使用和传输时免受未经授权的披露和修改。</t>
    <phoneticPr fontId="1" type="noConversion"/>
  </si>
  <si>
    <t>设备的安全存储功能</t>
    <phoneticPr fontId="1" type="noConversion"/>
  </si>
  <si>
    <t>数据资产：
账户密码
安全资产：
证书、证书私钥</t>
    <phoneticPr fontId="1" type="noConversion"/>
  </si>
  <si>
    <t>x</t>
    <phoneticPr fontId="1" type="noConversion"/>
  </si>
  <si>
    <t>S,I,E</t>
    <phoneticPr fontId="1" type="noConversion"/>
  </si>
  <si>
    <t>攻击者 → 物理接触设备 →获取设备存储→ 提取明文密码/证书/私钥</t>
    <phoneticPr fontId="1" type="noConversion"/>
  </si>
  <si>
    <t>攻击者通过物理靠近、供应链获取或获取退役设备等方法读取设备存储，获取设备明文存储数据</t>
    <phoneticPr fontId="1" type="noConversion"/>
  </si>
  <si>
    <t>Logger缺失可能影响所有攻击向量</t>
    <phoneticPr fontId="1" type="noConversion"/>
  </si>
  <si>
    <t>Physical</t>
    <phoneticPr fontId="1" type="noConversion"/>
  </si>
  <si>
    <t>密码泄露可导致未授权访问（最高权限）；证书私钥泄露可导致加密体系完全失效，解密所有通信流量，危害最严重级别</t>
    <phoneticPr fontId="1" type="noConversion"/>
  </si>
  <si>
    <t>攻击可不停重制；一旦存储介质被读取，信息即可反复使用</t>
    <phoneticPr fontId="1" type="noConversion"/>
  </si>
  <si>
    <t>需要物理接触设备（拆解、连接调试接口或编程器）或具备一定文件系统访问技能</t>
    <phoneticPr fontId="1" type="noConversion"/>
  </si>
  <si>
    <t>所有使用明文存储的设备均受影响；若证书为统一部署，影响范围更广</t>
    <phoneticPr fontId="1" type="noConversion"/>
  </si>
  <si>
    <t>可通过分析固件或文件系统发现存储方式；明文存储的事实可通过逆向工程确认</t>
    <phoneticPr fontId="1" type="noConversion"/>
  </si>
  <si>
    <t>高风险</t>
    <phoneticPr fontId="1" type="noConversion"/>
  </si>
  <si>
    <t>风险消减</t>
    <phoneticPr fontId="1" type="noConversion"/>
  </si>
  <si>
    <t>1. PBKDF2加密存储密码
2. AES-256-GCM加密证书
3. 对称密钥存储在安全硬件中</t>
    <phoneticPr fontId="1" type="noConversion"/>
  </si>
  <si>
    <t>风险消减不影响危害性评分</t>
    <phoneticPr fontId="1" type="noConversion"/>
  </si>
  <si>
    <t>加密和哈希机制使攻击无法重复成功；PBKDF2的高工作因子使暴力破解在计算上不可行</t>
    <phoneticPr fontId="1" type="noConversion"/>
  </si>
  <si>
    <t>攻击者需同时具备物理接触能力、突破TEE保护（理论上不可行）或破解AES-256-GCM（计算上不可行），技能要求极高；但物理接触存储介质的路径仍然存在（尽管读取到的仅为密文）</t>
    <phoneticPr fontId="1" type="noConversion"/>
  </si>
  <si>
    <t>所有设备均受益于加密存储保护</t>
    <phoneticPr fontId="1" type="noConversion"/>
  </si>
  <si>
    <t>加密存储机制使攻击者难以发现可利用的弱点；即使发现存储文件，也无法解密利用</t>
    <phoneticPr fontId="1" type="noConversion"/>
  </si>
  <si>
    <r>
      <t>CR 4.1 信息的机密性
组件应
a） 提供保护静态信息机密性的能力，支持显式读取授权；和
b） 支持保护IEC 62443</t>
    </r>
    <r>
      <rPr>
        <sz val="11"/>
        <color rgb="FF000000"/>
        <rFont val="Cambria Math"/>
        <family val="3"/>
        <charset val="1"/>
      </rPr>
      <t>‑</t>
    </r>
    <r>
      <rPr>
        <sz val="11"/>
        <color rgb="FF000000"/>
        <rFont val="宋体"/>
        <family val="3"/>
        <charset val="134"/>
      </rPr>
      <t>3</t>
    </r>
    <r>
      <rPr>
        <sz val="11"/>
        <color rgb="FF000000"/>
        <rFont val="Cambria Math"/>
        <family val="3"/>
        <charset val="1"/>
      </rPr>
      <t>‑</t>
    </r>
    <r>
      <rPr>
        <sz val="11"/>
        <color rgb="FF000000"/>
        <rFont val="宋体"/>
        <family val="3"/>
        <charset val="134"/>
      </rPr>
      <t>3 SR 4.1中定义的传输中信息的机密性。</t>
    </r>
    <phoneticPr fontId="1" type="noConversion"/>
  </si>
  <si>
    <t>一次物理靠近设备成功后，由于没有安全启动等功能再次攻击可能还会成功，攻击可重复性依赖于外部访问控制</t>
    <phoneticPr fontId="1" type="noConversion"/>
  </si>
  <si>
    <t>攻击需要极高技能和专业工具</t>
    <phoneticPr fontId="1" type="noConversion"/>
  </si>
  <si>
    <t>影响单台EMU内的PID-ISO和PLC</t>
    <phoneticPr fontId="1" type="noConversion"/>
  </si>
  <si>
    <t>CR 3.8 – 会话完整性
组件应提供保护通信会话完整性的机制，包括：
a) 在用户注销或其他会话终止（包括浏览器会话）时，使会话标识符失效的能力；
b) 为每个会话生成唯一会话标识符，并仅识别由系统生成的会话标识符的能力；以及
c) 利用公认的随机性来源生成唯一会话标识符的能力。</t>
    <phoneticPr fontId="1" type="noConversion"/>
  </si>
  <si>
    <t>CR 2.1 – 授权执行
组件应针对所有已识别和已认证的用户，根据其被分配的职责提供授权执行机制。
RE (1) 针对所有用户（人员、软件进程及设备）的授权执行
组件应根据用户被分配的职责及最小权限原则，为所有用户提供授权执行机制。
RE (2) 权限与角色的映射
组件应（直接或通过补偿性安全机制）支持由授权角色定义并修改所有人员用户的权限与角色映射关系。
角色不应局限于固定的嵌套层级结构（即高层级角色包含低权限角色的所有权限）；例如，系统管理员不一定必须包含操作员的权限。</t>
    <phoneticPr fontId="1" type="noConversion"/>
  </si>
  <si>
    <t>EDR 3.14 – 引导过程的完整性
嵌入式设备应在投入使用前，验证组件引导及运行过程所需的固件、软件和配置数据的完整性。
RE (1) 引导过程的真实性
嵌入式设备应在引导过程中使用组件产品供应商的信任根，验证组件引导所需的固件、软件和配置数据的真实性。</t>
    <phoneticPr fontId="1" type="noConversion"/>
  </si>
  <si>
    <t>　CR 3.4 – 软件与信息的完整性
组件应具备对软件、配置及其他信息执行或支持完整性检查，并记录与报告检查结果的能力；或者，组件应能集成到能够执行或支持此类完整性检查的系统中。
RE (1) 软件与信息的真实性
组件应具备对软件、配置及其他信息执行或支持真实性检查，并记录与报告检查结果的能力；或者，组件应能集成到能够执行或支持此类真实性检查的系统中。
EDR 3.14 – 引导过程的完整性
嵌入式设备应在投入使用前，验证组件引导及运行过程所需的固件、软件和配置数据的完整性。
RE (1) 引导过程的真实性
嵌入式设备应在引导过程中使用组件产品供应商的信任根，验证组件引导所需的固件、软件和配置数据的真实性。</t>
    <phoneticPr fontId="1" type="noConversion"/>
  </si>
  <si>
    <t>EDR 3.10 – 支持更新
嵌入式设备应具备支持更新和升级的能力。
RE (1) 更新的真实性与完整性
嵌入式设备应在安装前验证任何软件更新或升级的真实性与完整性。</t>
    <phoneticPr fontId="1" type="noConversion"/>
  </si>
  <si>
    <t>CR 3.10 RE (2) – 自动更新
该组件应具备（直接或通过辅助措施）支持以下各项的能力：
a) 自动加载更新；或
b) 通知有可用更新；或
c) 按需或按计划更新组件。若发生故障，该组件应支持自动恢复至先前版本。</t>
    <phoneticPr fontId="1" type="noConversion"/>
  </si>
  <si>
    <r>
      <t>CR 3.1 – 通信完整性
组件应具备保护所传输信息完整性的能力。
RE (1) 通信身份验证
组件应具备在通信过程中验证所接收信息真实性的能力。
CR 4.1 信息的机密性
组件应
a） 提供保护静态信息机密性的能力，支持显式读取授权；和
b） 支持保护IEC 62443</t>
    </r>
    <r>
      <rPr>
        <sz val="11"/>
        <color rgb="FF000000"/>
        <rFont val="Cambria Math"/>
        <family val="3"/>
        <charset val="1"/>
      </rPr>
      <t>‑</t>
    </r>
    <r>
      <rPr>
        <sz val="11"/>
        <color rgb="FF000000"/>
        <rFont val="宋体"/>
        <family val="3"/>
        <charset val="134"/>
      </rPr>
      <t>3</t>
    </r>
    <r>
      <rPr>
        <sz val="11"/>
        <color rgb="FF000000"/>
        <rFont val="Cambria Math"/>
        <family val="3"/>
        <charset val="1"/>
      </rPr>
      <t>‑</t>
    </r>
    <r>
      <rPr>
        <sz val="11"/>
        <color rgb="FF000000"/>
        <rFont val="宋体"/>
        <family val="3"/>
        <charset val="134"/>
      </rPr>
      <t>3 SR 4.1中定义的传输中信息的机密性。
CR 4.3 – 密码技术的使用
若需要使用密码技术，组件应采用符合国际公认且经实践验证的安全规范与建议的密码安全机制。</t>
    </r>
    <phoneticPr fontId="1" type="noConversion"/>
  </si>
  <si>
    <t>CR 2.8 – 可审计事件
组件应具备针对以下类别生成与安全相关的审计记录的能力：
a) 访问控制；
b) 请求错误；
c) 控制系统事件；
d) 备份与恢复事件；
e) 配置变更；以及
f) 审计日志事件。
单条审计记录应包含：
a) 时间戳；
b) 来源（发起设备、软件进程或人员用户账户）；
c) 类别；
d) 类型；
e) 事件 ID；以及
f) 事件结果。</t>
    <phoneticPr fontId="1" type="noConversion"/>
  </si>
  <si>
    <t>EDR 2.13 – 物理诊断与测试接口的使用
嵌入式设备应防止未经授权使用物理出厂诊断及测试接口（例如 JTAG 调试）。</t>
    <phoneticPr fontId="1" type="noConversion"/>
  </si>
  <si>
    <t>CR 4.2 – 信息持久性
对于支持明确读取授权的信息，组件应具备将其从即将退出活跃服务和/或退役的组件中清除的能力。</t>
    <phoneticPr fontId="1" type="noConversion"/>
  </si>
  <si>
    <t>EDR 3.11 – 物理防篡改与检测
嵌入式设备应提供防篡改及检测机制，以防止对设备进行未经授权的物理访问。</t>
    <phoneticPr fontId="1" type="noConversion"/>
  </si>
  <si>
    <t>CR 7.7 – 最小功能原则
组件应具备专门限制使用非必要功能、端口、协议和/或服务的能力。</t>
    <phoneticPr fontId="1" type="noConversion"/>
  </si>
  <si>
    <t>CR 4.1 信息的机密性
组件应
a） 提供保护静态信息机密性的能力，支持显式读取授权；和
b） 支持保护IEC 62443‑3‑3 SR 4.1中定义的传输中信息的机密性。</t>
    <phoneticPr fontId="1" type="noConversion"/>
  </si>
  <si>
    <r>
      <t>CR 4.1 信息的机密性
组件应
a） 提供保护静态信息机密性的能力，支持显式读取授权；和
b） 支持保护IEC 62443</t>
    </r>
    <r>
      <rPr>
        <sz val="11"/>
        <color rgb="FF000000"/>
        <rFont val="Cambria Math"/>
        <family val="1"/>
      </rPr>
      <t>‑</t>
    </r>
    <r>
      <rPr>
        <sz val="11"/>
        <color rgb="FF000000"/>
        <rFont val="宋体"/>
        <family val="3"/>
        <charset val="134"/>
      </rPr>
      <t>3</t>
    </r>
    <r>
      <rPr>
        <sz val="11"/>
        <color rgb="FF000000"/>
        <rFont val="Cambria Math"/>
        <family val="1"/>
      </rPr>
      <t>‑</t>
    </r>
    <r>
      <rPr>
        <sz val="11"/>
        <color rgb="FF000000"/>
        <rFont val="宋体"/>
        <family val="3"/>
        <charset val="134"/>
      </rPr>
      <t>3 SR 4.1中定义的传输中信息的机密性。</t>
    </r>
    <phoneticPr fontId="1" type="noConversion"/>
  </si>
  <si>
    <t>CR 3.5 – 输入验证
对于用作工业过程控制输入，或通过直接影响组件动作的外部接口输入的任何输入数据，组件均须验证其语法、长度和内容。</t>
    <phoneticPr fontId="1" type="noConversion"/>
  </si>
  <si>
    <r>
      <t>CR 4.1 信息的机密性
组件应
a） 提供保护静态信息机密性的能力，支持显式读取授权；和b） 支持保护IEC 62443</t>
    </r>
    <r>
      <rPr>
        <sz val="11"/>
        <color rgb="FF000000"/>
        <rFont val="Cambria Math"/>
        <family val="3"/>
        <charset val="1"/>
      </rPr>
      <t>‑</t>
    </r>
    <r>
      <rPr>
        <sz val="11"/>
        <color rgb="FF000000"/>
        <rFont val="宋体"/>
        <family val="3"/>
        <charset val="134"/>
      </rPr>
      <t>3</t>
    </r>
    <r>
      <rPr>
        <sz val="11"/>
        <color rgb="FF000000"/>
        <rFont val="Cambria Math"/>
        <family val="3"/>
        <charset val="1"/>
      </rPr>
      <t>‑</t>
    </r>
    <r>
      <rPr>
        <sz val="11"/>
        <color rgb="FF000000"/>
        <rFont val="宋体"/>
        <family val="3"/>
        <charset val="134"/>
      </rPr>
      <t>3 SR 4.1中定义的传输中信息的机密性。</t>
    </r>
    <phoneticPr fontId="1" type="noConversion"/>
  </si>
  <si>
    <t>CR 1.8 – 公钥基础设施证书
当使用公钥基础设施（PKI）时，组件应提供相应功能，或集成到提供相应功能的系统中，以实现符合 IEC 62443-3-3 SR1.8 要求的交互与操作。
CR 1.9 – 基于公钥的身份验证强度
对于采用基于公钥的身份验证的组件，该组件应直接提供或集成到提供相应功能的系统中，以便在同一 IACS 环境内实现以下能力：
a) 通过检查给定证书签名的有效性来验证证书；
b) 验证证书链；若为自签名证书，则通过将叶证书部署到所有与证书持有主体进行通信的主机上来进行验证；
c) 通过检查给定证书的吊销状态来验证证书；
d) 确立用户（人员、软件进程或设备）对相应私钥的控制；
e) 将已验证的身份映射到用户（人员、软件进程或设备）；以及
f) 确保用于公钥身份验证的算法和密钥符合 CR 4.3 的要求。</t>
    <phoneticPr fontId="1" type="noConversion"/>
  </si>
  <si>
    <t>CR 3.3 – 安全功能验证
组件应具备支持验证安全功能按预期运行的能力，以符合 IEC 62443-3-3 SR3.3 的要求。
CR 7.7 – 最小功能原则
组件应具备专门限制使用非必要功能、端口、协议和/或服务的能力。</t>
    <phoneticPr fontId="1" type="noConversion"/>
  </si>
  <si>
    <r>
      <t>CR 4.1 信息的机密性
组件应
a） 提供保护静态信息机密性的能力，支持显式读取授权；和
b） 支持保护IEC 62443</t>
    </r>
    <r>
      <rPr>
        <sz val="11"/>
        <color rgb="FF000000"/>
        <rFont val="Cambria Math"/>
        <family val="3"/>
        <charset val="1"/>
      </rPr>
      <t>‑</t>
    </r>
    <r>
      <rPr>
        <sz val="11"/>
        <color rgb="FF000000"/>
        <rFont val="宋体"/>
        <family val="3"/>
        <charset val="134"/>
      </rPr>
      <t>3</t>
    </r>
    <r>
      <rPr>
        <sz val="11"/>
        <color rgb="FF000000"/>
        <rFont val="Cambria Math"/>
        <family val="3"/>
        <charset val="1"/>
      </rPr>
      <t>‑</t>
    </r>
    <r>
      <rPr>
        <sz val="11"/>
        <color rgb="FF000000"/>
        <rFont val="宋体"/>
        <family val="3"/>
        <charset val="134"/>
      </rPr>
      <t>3 SR 4.1中定义的传输中信息的机密性。
CR 4.3 – 密码技术的使用
若需要使用密码技术，组件应采用符合国际公认且经实践验证的安全规范与建议的密码安全机制。</t>
    </r>
    <phoneticPr fontId="1" type="noConversion"/>
  </si>
  <si>
    <t>CR 7.1 – 拒绝服务防护
组件应具备在因拒绝服务（DoS）事件导致降级运行模式下维持基本功能的能力。
RE (1) 管理组件产生的通信负载
组件应具备缓解信息和/或消息泛洪类拒绝服务（DoS）事件影响的能力。
CR 7.2 – 资源管理
组件应具备限制安全功能资源使用的能力，以防止资源耗尽。</t>
    <phoneticPr fontId="1" type="noConversion"/>
  </si>
  <si>
    <t>CR 4.3 – 密码技术的使用
若需要使用密码技术，组件应采用符合国际公认且经实践验证的安全规范与建议的密码安全机制。</t>
    <phoneticPr fontId="1" type="noConversion"/>
  </si>
  <si>
    <t>CR 3.1 – 通信完整性
组件应具备保护所传输信息完整性的能力。
RE (1) 通信身份验证
组件应具备在通信过程中验证所接收信息真实性的能力。</t>
    <phoneticPr fontId="1" type="noConversion"/>
  </si>
  <si>
    <t>CR 1.2 – 软件进程及设备标识与身份验证
组件应具备标识自身并向任何其他组件（软件应用程序、嵌入式设备、主机设备及网络设备）进行身份验证的能力，以符合 IEC 62443‑3‑3 SR1.2 的要求。
若组件（例如应用程序）是在人类用户的上下文中运行，则依据 IEC 62443‑3‑3 SR1.1 对该人类用户进行的标识与身份验证，也可作为该组件向其他组件进行标识与身份验证过程的一部分。</t>
    <phoneticPr fontId="1" type="noConversion"/>
  </si>
  <si>
    <t>CR 3.1 – 通信完整性
组件应具备保护所传输信息完整性的能力。
RE (1) 通信身份验证
组件应具备在通信过程中验证所接收信息真实性的能力。
CR 7.7 – 最小功能原则
组件应具备专门限制使用非必要功能、端口、协议和/或服务的能力。</t>
    <phoneticPr fontId="1" type="noConversion"/>
  </si>
  <si>
    <r>
      <t>CR 4.1 信息的机密性
组件应
a） 提供保护静态信息机密性的能力，支持显式读取授权；和
b） 支持保护IEC 62443</t>
    </r>
    <r>
      <rPr>
        <sz val="11"/>
        <color rgb="FF000000"/>
        <rFont val="Cambria Math"/>
        <family val="3"/>
        <charset val="1"/>
      </rPr>
      <t>‑</t>
    </r>
    <r>
      <rPr>
        <sz val="11"/>
        <color rgb="FF000000"/>
        <rFont val="宋体"/>
        <family val="3"/>
        <charset val="134"/>
      </rPr>
      <t>3</t>
    </r>
    <r>
      <rPr>
        <sz val="11"/>
        <color rgb="FF000000"/>
        <rFont val="Cambria Math"/>
        <family val="3"/>
        <charset val="1"/>
      </rPr>
      <t>‑</t>
    </r>
    <r>
      <rPr>
        <sz val="11"/>
        <color rgb="FF000000"/>
        <rFont val="宋体"/>
        <family val="3"/>
        <charset val="134"/>
      </rPr>
      <t>3 SR 4.1中定义的传输中信息的机密性。
CR 7.7 – 最小功能原则
组件应具备专门限制使用非必要功能、端口、协议和/或服务的能力。</t>
    </r>
    <phoneticPr fontId="1" type="noConversion"/>
  </si>
  <si>
    <t>SVV-3：漏洞测试</t>
    <phoneticPr fontId="1" type="noConversion"/>
  </si>
  <si>
    <t>PLC、PID-ISO、IO板遭受攻击者攻击时不会被记录，攻击难以被溯源</t>
    <phoneticPr fontId="1" type="noConversion"/>
  </si>
  <si>
    <t>PI-RF-5：无验签信任链，路由 / 身份可伪造
影响功能：如果交换机使用无认证的路由协议，可能被发送虚假报文导致网络阻塞、ARP响应攻击或路由劫持。
用户影响：影响完整性、可用性和真实性</t>
    <phoneticPr fontId="1" type="noConversion"/>
  </si>
  <si>
    <t>BL-RF-4: 固件 / 引导被篡改，持久植入
影响功能：交换机固件安装和启动时没有安全校验，导致交换机无法运行或运行恶意代码，影响交换机的使用，也可能导致交换机管理权限泄露
用户影响：影响交换机的真实性、完整性、授权性</t>
    <phoneticPr fontId="1" type="noConversion"/>
  </si>
  <si>
    <t>数据资产：
交换机固件
功能资产：
EMU、Logger运维功能</t>
    <phoneticPr fontId="1" type="noConversion"/>
  </si>
  <si>
    <t>S,T,R</t>
    <phoneticPr fontId="1" type="noConversion"/>
  </si>
  <si>
    <t>攻击者篡改或替换交换机固件包安装至交换机</t>
    <phoneticPr fontId="1" type="noConversion"/>
  </si>
  <si>
    <t>攻击者 → 物理靠近EMU机柜 → 打开机柜接触交换机维护端口 → 上传篡改后的固件→ 交换机接受并安装恶意固件</t>
    <phoneticPr fontId="1" type="noConversion"/>
  </si>
  <si>
    <t>交换机被控后可作为跳板影响EMU核心功能，但交换机本身不存储敏感数据</t>
    <phoneticPr fontId="1" type="noConversion"/>
  </si>
  <si>
    <t>篡改固件可重复进行；只要更新过程无签名校验，攻击者可反复推送篡改包</t>
    <phoneticPr fontId="1" type="noConversion"/>
  </si>
  <si>
    <t>需要物理靠近EMU（预期使用场景限制）并了解交换机升级机制，具有中等技能门槛</t>
    <phoneticPr fontId="1" type="noConversion"/>
  </si>
  <si>
    <t>攻击者需逐台物理接触，影响极低比例设备</t>
    <phoneticPr fontId="1" type="noConversion"/>
  </si>
  <si>
    <t>升级机制和checksum校验的存在可通过分析固件升级流程发现；缺少签名验证的事实可通过逆向工程确认</t>
    <phoneticPr fontId="1" type="noConversion"/>
  </si>
  <si>
    <t>中风险</t>
    <phoneticPr fontId="1" type="noConversion"/>
  </si>
  <si>
    <t>1. 交换机使用checksum校验固件包
2. 严格限制物理访问（机柜锁、门禁、监控）【系统补偿措施】
3. 建立固件更新审批和双人复核制度【系统补偿措施】
4. 更新前由运维人员人工验证固件包的哈希值与官方发布值一致【系统补偿措施】
5. 部署网络入侵检测系统监控交换机异常行为【系统补偿措施】</t>
    <phoneticPr fontId="1" type="noConversion"/>
  </si>
  <si>
    <t>风险处置不影响危害性评分</t>
    <phoneticPr fontId="1" type="noConversion"/>
  </si>
  <si>
    <t>篡改固件可重复，但双人复核增加难度</t>
    <phoneticPr fontId="1" type="noConversion"/>
  </si>
  <si>
    <t>物理保护、双人复核能确保攻击者极难获得合法更新操作权限</t>
    <phoneticPr fontId="1" type="noConversion"/>
  </si>
  <si>
    <t>保持不变</t>
    <phoneticPr fontId="1" type="noConversion"/>
  </si>
  <si>
    <t>哈希验证机制使篡改易被发现；NIDS监控异常行为</t>
    <phoneticPr fontId="1" type="noConversion"/>
  </si>
  <si>
    <t>低风险</t>
    <phoneticPr fontId="1" type="noConversion"/>
  </si>
  <si>
    <t>攻击者通过物理接口（如Debug串口、JTAG、直接烧写存储芯片）或利用其他漏洞将篡改后的固件写入设备的非易失性存储器。</t>
    <phoneticPr fontId="1" type="noConversion"/>
  </si>
  <si>
    <t>攻击者 → 物理靠近EMU机柜 → 打开机柜接触交换机 → 通过物理接口写入篡改的启动固件 → 交换机每次启动加载恶意固件</t>
    <phoneticPr fontId="1" type="noConversion"/>
  </si>
  <si>
    <t>攻击者替换或篡改交换机固件，交换机安装后未检测固件</t>
    <phoneticPr fontId="1" type="noConversion"/>
  </si>
  <si>
    <t>交换机被控后可作为跳板影响EMU核心功能；持久性后门难以检测</t>
    <phoneticPr fontId="1" type="noConversion"/>
  </si>
  <si>
    <t>一旦植入恶意启动固件，每次启动都会执行，攻击可不停重制</t>
    <phoneticPr fontId="1" type="noConversion"/>
  </si>
  <si>
    <t>需要物理接触设备并具备硬件攻击技能</t>
    <phoneticPr fontId="1" type="noConversion"/>
  </si>
  <si>
    <t>缺少安全启动的事实需要深入硬件逆向才能发现，不易被外部攻击者轻易发现</t>
    <phoneticPr fontId="1" type="noConversion"/>
  </si>
  <si>
    <t>保持不变 — 交换机被控后的危害未变</t>
    <phoneticPr fontId="1" type="noConversion"/>
  </si>
  <si>
    <t>双人复核和审批制度使篡改难以重复成功；物理访问记录可追溯，攻击无法多次尝试</t>
    <phoneticPr fontId="1" type="noConversion"/>
  </si>
  <si>
    <t>机柜锁+门禁+监控使物理接触极难；双人复核阻断内部威胁；攻击者需同时突破三层物理防护和流程控制</t>
    <phoneticPr fontId="1" type="noConversion"/>
  </si>
  <si>
    <t>保持不变 — 攻击者仍需逐台突破</t>
    <phoneticPr fontId="1" type="noConversion"/>
  </si>
  <si>
    <t>人工哈希验证使篡改易被发现；NIDS监控流量异常</t>
    <phoneticPr fontId="1" type="noConversion"/>
  </si>
  <si>
    <t>Threat mitigation effectiveness ratioanl
威胁缓解有效性说明</t>
    <phoneticPr fontId="1" type="noConversion"/>
  </si>
  <si>
    <t>协调标准风险因子
harmonized standard risk factor</t>
    <phoneticPr fontId="1" type="noConversion"/>
  </si>
  <si>
    <t>1. 实施安全启动与完整性验证
2. 禁用所有非必要的网络接口与后台服务
3. 实现唯一的身份标识，同时启用防暴力破解机制
4. 强制施行最小权限原则,同时启用全面的审计日志
5. 确保默认配置持续安全有效,保证产品出厂时使用的都是安全的加密算法和最新固件版本，并为此后的安全更新提供便捷路径</t>
    <phoneticPr fontId="1" type="noConversion"/>
  </si>
  <si>
    <t>确保管理页面只能通过本地连接访问，或关闭管理页面只能Console访问</t>
    <phoneticPr fontId="1" type="noConversion"/>
  </si>
  <si>
    <t>1. 实施安全启动 
2. 生成审计事件
3.（可选，如果交换机存在恢复、维护模式则需要）进入恢复、维护模式需要认证</t>
    <phoneticPr fontId="1" type="noConversion"/>
  </si>
  <si>
    <t>1. 实施安全数据包转发策略, 启用畸形包过滤功能，
2. 禁用不确定数据包的后备处理</t>
    <phoneticPr fontId="1" type="noConversion"/>
  </si>
  <si>
    <t>1. 关闭本地Web管理接口，仅支持Console接口
2. 当使用Web本地接口时： 
强制本地认证
加密管理通道
严格会话管理，启用会话超时和并发登录限制
最小化开放接口
交换机内实施访问控制列表 (ACL)
启用审计日志
 确保设备能安全地丢弃格式错误的畸形数据包</t>
    <phoneticPr fontId="1" type="noConversion"/>
  </si>
  <si>
    <t>1. 默认禁用Web管理页面
2. 关闭非必要服务
3. 物理访问控制[EMU、电站实现]</t>
    <phoneticPr fontId="1" type="noConversion"/>
  </si>
  <si>
    <t>1、Logger部署带信任根的安全启动，交换机使用checksum
2、EMU内部署进程校验，防止未授权的进程访问敏感资产。
3、具备恶意代码防护（安全编译）。
4、具备预期运行的安全功能的验证的能力。</t>
    <phoneticPr fontId="1" type="noConversion"/>
  </si>
  <si>
    <t>针对Logger和的固件篡改攻击因安全启动而失效，但针对南向组件和交换机的攻击仍可能重复进行。</t>
    <phoneticPr fontId="1" type="noConversion"/>
  </si>
  <si>
    <t>Logger已有安全启动措施，交换机和南向组件缺少安全启动的事实需要深入硬件逆向才能发现，不易被外部攻击者轻易发现。</t>
    <phoneticPr fontId="1" type="noConversion"/>
  </si>
  <si>
    <t xml:space="preserve">
1、物理环境限制：EMU机柜带锁和防拆封条[EMU实现]
2、电站环境限制：户外带监控电站[外部系统实现]</t>
    <phoneticPr fontId="1" type="noConversion"/>
  </si>
  <si>
    <r>
      <t>该能量管理单元通信说明如下：</t>
    </r>
    <r>
      <rPr>
        <sz val="12"/>
        <color theme="1"/>
        <rFont val="等线"/>
        <family val="2"/>
        <charset val="134"/>
        <scheme val="minor"/>
      </rPr>
      <t xml:space="preserve">
</t>
    </r>
    <r>
      <rPr>
        <sz val="11"/>
        <color rgb="FF000000"/>
        <rFont val="Microsoft YaHei"/>
        <family val="2"/>
        <charset val="134"/>
      </rPr>
      <t>1. 南向接口：集成了多路RS485端口，支持通过ModbusRTU协议采集南向设备数据，如逆变器、环境检测仪等数据，集成了MPLC电力载波通信接口，支持通过交流电力线载波通信，采集逆变器的运行数据。</t>
    </r>
    <r>
      <rPr>
        <sz val="12"/>
        <color theme="1"/>
        <rFont val="等线"/>
        <family val="2"/>
        <charset val="134"/>
        <scheme val="minor"/>
      </rPr>
      <t xml:space="preserve">
</t>
    </r>
    <r>
      <rPr>
        <sz val="11"/>
        <color rgb="FF000000"/>
        <rFont val="Microsoft YaHei"/>
        <family val="2"/>
        <charset val="134"/>
      </rPr>
      <t>2. 北向接口：支持多路以太网接口，该接口支持接入联网的4G路由器，连接互联网，实现数据上云。</t>
    </r>
    <r>
      <rPr>
        <sz val="12"/>
        <color theme="1"/>
        <rFont val="等线"/>
        <family val="2"/>
        <charset val="134"/>
        <scheme val="minor"/>
      </rPr>
      <t xml:space="preserve">
</t>
    </r>
    <r>
      <rPr>
        <sz val="11"/>
        <color rgb="FF000000"/>
        <rFont val="Microsoft YaHei"/>
        <family val="2"/>
        <charset val="134"/>
      </rPr>
      <t>内部数采的以太网接口或者交换机的光纤接口（EMU装置内部配置交换机时，交换机连接内部数据采集器的网口），对外经客户网络接入站控或通过4G 路由器传输至阳光云。</t>
    </r>
    <r>
      <rPr>
        <sz val="12"/>
        <color theme="1"/>
        <rFont val="等线"/>
        <family val="2"/>
        <charset val="134"/>
        <scheme val="minor"/>
      </rPr>
      <t xml:space="preserve">
</t>
    </r>
    <r>
      <rPr>
        <sz val="11"/>
        <color theme="1"/>
        <rFont val="Microsoft YaHei"/>
        <family val="2"/>
        <charset val="134"/>
      </rPr>
      <t>3. 维护接口：开锁维护。</t>
    </r>
    <r>
      <rPr>
        <sz val="12"/>
        <color theme="1"/>
        <rFont val="等线"/>
        <family val="2"/>
        <charset val="134"/>
        <scheme val="minor"/>
      </rPr>
      <t xml:space="preserve">
</t>
    </r>
    <r>
      <rPr>
        <sz val="11"/>
        <color theme="1"/>
        <rFont val="Microsoft YaHei"/>
        <family val="2"/>
        <charset val="134"/>
      </rPr>
      <t>4. 电源接口：交流供电输入端（仅提供电力，不传输数据）。</t>
    </r>
    <r>
      <rPr>
        <sz val="12"/>
        <color theme="1"/>
        <rFont val="等线"/>
        <family val="2"/>
        <charset val="134"/>
        <scheme val="minor"/>
      </rPr>
      <t xml:space="preserve">
</t>
    </r>
    <r>
      <rPr>
        <sz val="11"/>
        <color rgb="FF000000"/>
        <rFont val="Microsoft YaHei"/>
        <family val="2"/>
        <charset val="134"/>
      </rPr>
      <t>该能量管理单元的预期通信关系：</t>
    </r>
    <r>
      <rPr>
        <sz val="12"/>
        <color theme="1"/>
        <rFont val="等线"/>
        <family val="2"/>
        <charset val="134"/>
        <scheme val="minor"/>
      </rPr>
      <t xml:space="preserve">
</t>
    </r>
    <r>
      <rPr>
        <sz val="11"/>
        <color rgb="FF000000"/>
        <rFont val="Microsoft YaHei"/>
        <family val="2"/>
        <charset val="134"/>
      </rPr>
      <t>1、所有数据交互汇总处理由内置的数据采集器完成。</t>
    </r>
    <r>
      <rPr>
        <sz val="12"/>
        <color theme="1"/>
        <rFont val="等线"/>
        <family val="2"/>
        <charset val="134"/>
        <scheme val="minor"/>
      </rPr>
      <t xml:space="preserve">
</t>
    </r>
    <r>
      <rPr>
        <sz val="11"/>
        <color rgb="FF000000"/>
        <rFont val="Microsoft YaHei"/>
        <family val="2"/>
        <charset val="134"/>
      </rPr>
      <t>2、能量管理单元通过南向接口连接逆变器、环境检测仪、电表等，通过北向接口接入客户本地网络，再通过核心交换机传输至后台站控，例如Insight、SCADA。或者通过经客户授权的4G路由器上传至阳光云。整个通信路径需经由客户部署的交换机与路由器，设备不直接接入公共互联网。</t>
    </r>
    <phoneticPr fontId="1" type="noConversion"/>
  </si>
  <si>
    <t>1. 交换机的认证机制、防暴力破解机制、密码保护策略
2. 交换机的授权机制
3. 交换机的日志审计机制</t>
    <phoneticPr fontId="1" type="noConversion"/>
  </si>
  <si>
    <r>
      <rPr>
        <b/>
        <sz val="11"/>
        <color rgb="FF00B0F0"/>
        <rFont val="宋体"/>
        <family val="3"/>
        <charset val="134"/>
      </rPr>
      <t>1. 交换机使用checksum校验固件包</t>
    </r>
    <r>
      <rPr>
        <sz val="11"/>
        <color rgb="FF00B0F0"/>
        <rFont val="宋体"/>
        <family val="3"/>
        <charset val="134"/>
      </rPr>
      <t xml:space="preserve">
2. 严格限制物理访问（机柜锁、门禁、监控）【系统补偿措施】
3. 建立固件更新审批和双人复核制度【系统补偿措施】
4. 更新前由运维人员人工验证固件包的哈希值与官方发布值一致【系统补偿措施】
5. 部署网络入侵检测系统监控交换机异常行为【系统补偿措施】1</t>
    </r>
    <phoneticPr fontId="1" type="noConversion"/>
  </si>
  <si>
    <t>仍仅限于极少数的物理接触场景</t>
    <phoneticPr fontId="1" type="noConversion"/>
  </si>
  <si>
    <t>安全功能编号</t>
    <phoneticPr fontId="1" type="noConversion"/>
  </si>
  <si>
    <t>安全需求编号</t>
    <phoneticPr fontId="1" type="noConversion"/>
  </si>
  <si>
    <t>风险接受</t>
    <phoneticPr fontId="1" type="noConversion"/>
  </si>
  <si>
    <t>风险转移</t>
    <phoneticPr fontId="1" type="noConversion"/>
  </si>
  <si>
    <t>1、校验码应采用密码学安全的随机数生成算法，并设置合理的有效期。
2、所有密码修改操作须记录完整的审计日志，包括时间、用户、操作类型、源IP及结果。
3、风险转移：网络安全文档应明确告知用户重置用户名和密码时的安全风险及注意事项，做好风险告知与责任划分。</t>
    <phoneticPr fontId="1" type="noConversion"/>
  </si>
  <si>
    <t>风险转移：
制造商将在用户手册及网络安全手册中明确警示：用户在重置密码过程中，应通过安全通信渠道进行操作（如加密邮件、企业即时通讯加密通道、客服中心专用安全 APP 等）。因使用非安全渠道导致的凭证泄露或账户安全风险，由用户及客服中心自行承担。</t>
    <phoneticPr fontId="1" type="noConversion"/>
  </si>
  <si>
    <t>风险消减
风险接受</t>
    <phoneticPr fontId="1" type="noConversion"/>
  </si>
  <si>
    <t>1、风险接受：明确评估目标是EMU的密码重置功能，其流程依赖外部客服进行人工干预。本评估假定该密码重置业务流程的通信通道是机密的，且客服人员遵循安全操作规范。
2、风险消减：EMU端实现校验码和重置密钥的有效期</t>
    <phoneticPr fontId="1" type="noConversion"/>
  </si>
  <si>
    <t>1、错误信息不应包含敏感信息（如用户密码等），仅返回通用提示。
2、系统应具备防暴力破解机制，包括登录失败次数限制、账户临时锁定及验证码触发策略。
3、所有登录尝试（成功/失败）须记录审计日志，包含时间、用户标识、源 IP、设备信息及结果。</t>
    <phoneticPr fontId="1" type="noConversion"/>
  </si>
  <si>
    <t>1、首次登录强制修改密码
用户首次登录系统时，必须强制要求修改初始密码，修改完成后方可正常使用系统功能。
2、密码复杂度要求
密码长度不少于 8 位，且必须包含大写字母、小写字母、数字和特殊字符中的至少三种。
3、密码存储加密
密码必须以加密哈希形式存储（如 bcrypt、Argon2 或 PBKDF2），严禁明文存储或可逆加密。
4、密码有效期管理
密码应设置有效期（建议不超过 90 天），到期后强制用户更换；同时限制近期密码重复使用。
5、防暴力破解机制
系统应具备非法访问锁定能力：在可配置的时间周期内，对连续无效登录尝试进行次数限制，超过阈值后自动锁定账户或触发验证码。
6、会话安全管理
系统应设置会话超时机制（建议空闲超时不超过 30 分钟），并确保每个会话 ID 全局唯一且不可预测。
7、多角色用户管理
系统应支持多角色权限管理，实现基于角色的访问控制（RBAC），确保用户仅能访问其授权范围内的资源。
8、登录前安全提示
访问系统时，应在身份验证之前显示可配置的安全提示信息（如授权声明、使用须知等），提示内容需经授权人员配置后方可生效。</t>
    <phoneticPr fontId="1" type="noConversion"/>
  </si>
  <si>
    <t>1、密码修改验证
系统应支持用户修改密码功能，修改密码前必须验证旧密码的正确性。
2、管理员重置其他用户密码验证
管理员修改其他用户密码前，必须验证管理员自身密码以确认操作权限。
3、操作日志审计
所有密码修改操作（含用户自主修改和管理员代改）须记录完整审计日志，包括操作时间、操作人、目标用户、源 IP 及操作结果。</t>
    <phoneticPr fontId="1" type="noConversion"/>
  </si>
  <si>
    <t>资产识别
Asset identification</t>
    <phoneticPr fontId="1" type="noConversion"/>
  </si>
  <si>
    <t>1、修改密码前必须验证旧密码
用户修改密码前，系统必须验证旧密码的正确性，确保操作者为账户合法持有人。
2、管理员重置其他用户密码验证
管理员修改其他用户密码前，必须重新验证管理员自身密码，以确认操作权限和身份。
3、输入数据校验
系统应对密码修改请求的所有输入数据进行严格校验，包括格式、长度、特殊字符及潜在注入攻击检测。
4、旧会话失效
密码修改成功后，系统应立即使该用户的所有现有会话失效，强制重新登录以确保安全。
5、操作日志审计
所有密码修改操作须记录完整审计日志，包括操作时间、操作人、目标用户、源 IP、设备信息及操作结果。</t>
    <phoneticPr fontId="1" type="noConversion"/>
  </si>
  <si>
    <t>1. EMU内（包括Logger、PLC、PID、IO板、交换机、录波小板）部署固件升级安全校验
2. EMU部署版本号检查机制，禁止降级</t>
    <phoneticPr fontId="1" type="noConversion"/>
  </si>
  <si>
    <t>1. 加固SSH配置，禁用所有已知弱算法
2. 强化开启SSH的访问控制
3. 用户权限最小化，限制可登录的账户及权限
4. （系统）严格管理SSH通道的开启</t>
    <phoneticPr fontId="1" type="noConversion"/>
  </si>
  <si>
    <t>1、默认启用日志功能
系统应默认启用日志记录功能，无需手动配置，确保所有安全相关事件自动留痕。
2、日志持久化存储与访问控制
日志应持久化存储于独立存储介质，并实施严格的访问控制，仅授权人员可查阅。
3、日志导出加密
日志导出时必须进行加密处理（如 AES-256），防止传输和存储过程中的泄露风险。
4、审计日志处理失败响应
系统应具备审计日志处理失败响应机制，当日志写入失败时应触发告警并采取降级或保护措施。
5、风险转移：Syslog 服务器安全配置要求
采用 Syslog 服务器时，用户文档应明确要求配置安全的 Syslog 服务器（如启用 TLS 加密传输、访问认证等），相关安全风险由用户承担。</t>
    <phoneticPr fontId="1" type="noConversion"/>
  </si>
  <si>
    <t>1、调试接口默认关闭
调试串口（Debug）功能默认关闭，USB 接口预留为开发用途，SD 卡槽仅限于软件烧写使用。
2、管理员账号角色区分与访问控制
系统需通过管理员账号实现角色区分，并基于角色实施严格的访问控制策略。
3、非必要服务与调试接口默认关闭
所有非必要服务及调试接口（如 MMS、SSH 等）默认应处于关闭状态，仅在需要时由授权人员启用。
4、非安全协议风险告知
网络安全手册应明确将非安全协议（如 IEC 104、Modbus、GOOSE 等）列为风险项，并说明相应的防护措施。
5、调试网络隔离
调试网络接口应单独划入管理网段，仅允许授权终端访问，禁止通过北向协议访问；实际生产部署中，调试网口不应连接至任何业务网络交换机，保持物理断开或仅在调试时临时连接。
6、北向通信配置保护
北向机机通信在未通过身份认证的情况下，禁止修改 EMU 配置，防止未授权配置变更。</t>
    <phoneticPr fontId="1" type="noConversion"/>
  </si>
  <si>
    <t>1. 默认禁用调试和维护接口
2. 关键数据加密存储
3. 恢复出厂设置时输入当前用户密码进行二次认证
4. （系统）物理访问控制：限制区域的进出，监控等
5. （系统）建立设备处置流程，按需退役高风险设备，退役时执行数据擦除</t>
    <phoneticPr fontId="1" type="noConversion"/>
  </si>
  <si>
    <t>1、本地管理页面参数配置限制
系统参数仅允许在用户登录后的本地管理页面进行配置，禁止通过远程或未认证接口修改。
2、数据传输加密
设备数据在网络上传输时必须采用 TLS 加密协议，确保数据传输过程中的机密性与完整性。</t>
    <phoneticPr fontId="1" type="noConversion"/>
  </si>
  <si>
    <t>1、协议解析防护
对 ARP、Modbus、IEC 104、GOOSE 等协议实现输入完整性验证，自动拒绝无效或畸形报文，防止协议解析漏洞利用。
2、网络边界管控
在上层交换机部署网络边界防火墙，配置异常流量清洗规则及速率阈值告警，实现边界安全防护。
3、DoS 攻击后恢复
系统应具备 DoS 攻击后自动恢复能力，攻击结束后能够自动恢复正常运行状态，无需人工干预。
4、资源使用限制
系统应提供通过安全功能限制资源使用的能力（如连接数限制、CPU/内存配额等），防止资源耗尽攻击。</t>
    <phoneticPr fontId="1" type="noConversion"/>
  </si>
  <si>
    <t>1、HTTP 默认关闭与 TLS 配置
默认关闭 HTTP 明文协议，启用 TLS 1.2 及以上版本，并配置安全密码套件（如 TLS_ECDHE_RSA_WITH_AES_256_GCM_SHA384），禁用弱加密算法。
2、会话 ID 与密钥生成
会话 ID 和加密密钥应使用密码学安全随机数生成器生成，确保不可预测性和唯一性。
3、证书管理与告警
系统应导入受信任 CA 签名的数字证书，定期更新证书，并在证书过期前 90 天发出告警提示，避免因证书失效导致服务中断。
4、私钥与密码安全存储
TLS 私钥及相关密码应采用安全方式存储（如加密存储、硬件安全模块 HSM 等），严禁明文存储或硬编码于配置文件中。</t>
    <phoneticPr fontId="1" type="noConversion"/>
  </si>
  <si>
    <t>1. 部署频段手动切换、自动跳频、一键诊断功能
2. Modbus-RTU协议的数据合理性校验
3. 风险转移：
3. 1（系统）按照用户手册的要求，尽量缩短通讯距离，MPLC线缆连接箱变母排的耦合点位置建议选择母排中间的断路器，交流线缆做好物理隔离和屏蔽，同一线槽内只能部署同一箱变下的交流线缆
3. 2（系统）在双分裂变压器场景中，一个数据采集器下挂的2个PLC需要设置不同的方阵号（数组编号）
3.3 （系统）通过物理访问控制限制物理访问，并定期巡检</t>
    <phoneticPr fontId="1" type="noConversion"/>
  </si>
  <si>
    <t>1、默认安全配置与服务限制
严格遵循默认安全配置原则，仅开放必要的网络服务，所有非必要服务默认关闭。
2、基于角色的访问控制（RBAC）
系统应提供基于角色的访问控制机制，支持用户账号分级管理（管理员、运维、审计、普通用户），实现权限隔离。
3、安全策略配置
支持配置非法访问锁定（错误次数上限 5 次）、会话超时（默认 10 分钟）及用户锁定时间（默认 10 分钟），参数可由授权人员调整。
4、加密通信协议
默认使用 HTTPS 访问 Web 管理页面，并支持 IEC 104/TLS、Modbus/TLS 等加密通信协议，确保数据传输安全。
5、日志记录
系统默认记录操作日志和系统日志，确保安全事件可追溯、可审计。
6、输入数据完整性校验
对所有输入数据进行完整性校验，自动丢弃畸形 ARP 包及无效报文，防止协议层攻击。
7、网络层防护
在系统网络交换机上启用 ARP 防护、环路防护及广播风暴防护，并配置 IP 白名单限制可访问 EMU 的终端地址。
8、安全管理制度
建立并维护安全管理制度，明确安全职责、操作流程及应急响应机制，确保安全管理规范化。</t>
    <phoneticPr fontId="1" type="noConversion"/>
  </si>
  <si>
    <t>1、安全编码与数据校验
设计阶段应遵循安全编码规范，采用输入验证、边界检查等防御性编程技术，对所有接收的数据包进行严格校验，防止缓冲区溢出、注入等安全漏洞。
2、发布前模糊测试
产品正式发布前应执行模糊测试（Fuzz Testing），识别并修复潜在的协议解析、输入处理等安全缺陷。
3、固件升级安全管理
将 EMU/Logger 的固件升级纳入运维计划，升级包必须通过数字签名验证其合法性与完整性，并及时修复已发现的协议解析漏洞，确保设备安全更新。</t>
    <phoneticPr fontId="1" type="noConversion"/>
  </si>
  <si>
    <t>1、启用 TLS 加密
系统应默认启用 TLS 加密协议，确保所有网络通信的机密性与完整性。
2、北向协议并发连接数限制
对北向传输协议（HTTPS、MQTT、Modbus、IEC 104 等）应实现最大并发连接数限制，防止连接资源耗尽导致的拒绝服务攻击。
3、北向协议输入验证与异常检测
对北向传输协议（HTTPS、MQTT、Modbus、IEC 104 等）应实施输入验证和异常检测机制，畸形帧应被快速丢弃，避免消耗过多 CPU 资源。
4、启用 ACL 白名单
系统或 EMU 应启用访问控制列表（ACL）白名单机制，仅允许授权 IP 地址或设备访问，阻止未授权访问尝试。</t>
    <phoneticPr fontId="1" type="noConversion"/>
  </si>
  <si>
    <t>1、协议加密传输
Modbus、IEC 104 等协议应启用加密传输（如 TLS），默认禁用 GOOSE 等明文协议，降低数据泄露风险。
2、IP 白名单访问控制
启用 IP 白名单机制，严格限制可接入 EMU 的服务器地址，阻止未授权设备访问。
3、网络分段与配置保护
EMU 接口应实施网络分段，GOOSE 快速调节端口与常规北向接口独立隔离；北向机机通信在未通过身份认证的情况下，禁止修改 EMU 本地网络配置。
4、设备连接管理页面
系统应提供设备连接管理页面，用于集中管理所有连接的设备。例如，上位系统通过 Modbus-TCP 连接时应提供组件状态概览，并通过 IP 地址和端口识别功能，进一步提升 EMU 的追踪与管理能力。</t>
    <phoneticPr fontId="1" type="noConversion"/>
  </si>
  <si>
    <t>1、双向身份认证
EMU/Logger 应配置双向身份认证机制，能够识别自身身份并验证对向通信方的合法性，同时可将自身凭证发送给对方进行确认。支持 TLS 双向证书校验、预共享密钥（PSK）等认证方式。
2、未使用协议默认关闭
默认关闭所有未使用的通信协议，仅开放必要的协议服务，减少攻击面。
3、报文合理性校验
对所有接收的报文进行合理性校验，包括格式、长度、字段范围及协议合规性检查，自动丢弃异常或畸形报文。</t>
    <phoneticPr fontId="1" type="noConversion"/>
  </si>
  <si>
    <t>1. 制造商建立健全的漏洞管理机制，在生产和维护期间持续监控、分析处理漏洞
2. EMU在交付前进行漏洞扫描测试，确保交付前不存在可利用的漏洞
3. 持续通过更新或补丁方式修复新发现可利用的漏洞</t>
    <phoneticPr fontId="1" type="noConversion"/>
  </si>
  <si>
    <t>1、固件签名强度要求
固件升级包必须使用强度足够的数字签名算法（如 RSA-2048 及以上、ECDSA-256 及以上）进行签名校验，确保升级包来源可信且未被篡改。
2、HTTPS 加密传输
固件升级包传输必须通过 HTTPS 加密通道进行（由 Logger 实现），防止传输过程中的窃听和中间人攻击。
3、本地更新工具限制
本地更新功能仅允许连接制造商或授权维护人员的特定工具进行升级（由 Logger 实现），禁止通过通用接口或未授权工具执行固件更新。</t>
    <phoneticPr fontId="1" type="noConversion"/>
  </si>
  <si>
    <t>1、版本号与签名校验，禁止降级
固件升级前必须执行版本号校验和数字签名验证，严禁降级到旧版本，防止攻击者利用已知漏洞进行降级攻击。
2、HTTPS 加密传输
固件升级包必须通过 HTTPS 加密通道传输（由 Logger 实现），确保传输过程中的机密性与完整性，防止中间人攻击。
3、本地更新工具限制
本地更新功能仅允许连接制造商或授权维护人员的特定工具执行（由 Logger 实现），禁止通过通用接口或未授权工具进行固件更新。</t>
    <phoneticPr fontId="1" type="noConversion"/>
  </si>
  <si>
    <t>1、安全退役计划
制定设备安全退役计划，要求到期或损坏的设备强制报废并执行安全处置流程（由 PT1 实现），确保设备中的敏感数据不被泄露。
2、数据清除功能
EMU 内各设备（Logger、PID-ISO、IO、PLC 等）应具备数据清除功能（恢复出厂设置），可在设备退役、转移或维护时彻底清除配置数据与运行记录。
备注： 若设备不存储用户敏感数据，可不涉及数据清除要求。</t>
    <phoneticPr fontId="1" type="noConversion"/>
  </si>
  <si>
    <t>1、安全事件日志记录
系统应记录安全相关事件，包括异常数据包的发送与接收、设备未响应、安全告警等关键事件，确保安全事件可追溯。
2、日志时间戳要求
所有日志记录必须包含精确的时间戳，以便事件定位与审计分析。
备注：对应无法做日志的模块，可以将日志集中记录在数采上</t>
    <phoneticPr fontId="1" type="noConversion"/>
  </si>
  <si>
    <t>1、JTAG 调试口安全防护
用户版本应关闭 JTAG 调试接口，如确需保留访问能力，必须实施安全防护措施，包括安全身份验证机制（如密码认证、证书校验等），防止未授权调试访问。</t>
    <phoneticPr fontId="1" type="noConversion"/>
  </si>
  <si>
    <t>1、数据合理性校验：EMU侧应对采集到的南向数据进行阈值和变化率校验，识别明显异常的数值（如电压突变、功率超限）。
2、（EMU或系统）定期巡检，比对南向设备数据与预期范围，发现异常及时告警。
3、（系统）南向设备也需要配置安全防护机制，防止固件被篡改（如逆变器自身的签名校验）。</t>
    <phoneticPr fontId="1" type="noConversion"/>
  </si>
  <si>
    <t>1、配置文件与日志导出加密
配置文件和日志导出时必须设置压缩密码，导入时需输入解压密码方可还原，确保数据在传输和存储过程中的机密性。
2、配置文件完整性校验
读取和导入配置文件时应增加完整性校验机制（如哈希校验、数字签名等），防止配置文件被篡改或损坏。
3、固件签名与版本校验
固件升级前必须执行数字签名校验和版本号校验，确保固件来源可信且符合版本要求，防止恶意固件植入和降级攻击。
4、关键操作权限控制
备份导出、日志导出等关键操作必须由对应角色的授权账号执行，实施基于角色的访问控制（RBAC），防止未授权操作。
5、操作日志审计
系统应审计并记录所有操作日志，包括操作时间、操作人、操作类型及结果，确保所有行为可追溯、可审计。</t>
    <phoneticPr fontId="1" type="noConversion"/>
  </si>
  <si>
    <t>1. 会话超时强制登出
2. 登出后会话立即失效，修改密码后所有旧会话立即失效
3. 使用密码学安全随机数生成会话ID
4. 记录会话操作日志</t>
    <phoneticPr fontId="1" type="noConversion"/>
  </si>
  <si>
    <t>首次登录强制修改密码：
用户首次登录系统时，必须强制要求修改初始密码，修改完成后方可正常使用系统功能。</t>
    <phoneticPr fontId="1" type="noConversion"/>
  </si>
  <si>
    <t>密码复杂度要求：
密码长度不少于 8 位，且必须包含大写字母、小写字母、数字和特殊字符中的至少三种。</t>
    <phoneticPr fontId="1" type="noConversion"/>
  </si>
  <si>
    <t>密码存储加密：
密码必须以加密哈希形式存储（如 bcrypt、Argon2 或 PBKDF2），严禁明文存储或可逆加密。</t>
    <phoneticPr fontId="1" type="noConversion"/>
  </si>
  <si>
    <t>密码有效期管理：
密码应设置有效期（建议不超过 90 天），到期后强制用户更换；同时限制近期密码重复使用。</t>
    <phoneticPr fontId="1" type="noConversion"/>
  </si>
  <si>
    <t>防暴力破解机制：
系统应具备非法访问锁定能力：在可配置的时间周期内，对连续无效登录尝试进行次数限制，超过阈值后自动锁定账户。支持配置非法访问锁定（错误次数上限 5 次）及用户锁定时间（默认 10 分钟），参数可由授权人员调整。</t>
    <phoneticPr fontId="1" type="noConversion"/>
  </si>
  <si>
    <t>会话安全管理：
系统应设置会话超时机制（建议空闲超时不超过 30 分钟），支持配置会话超时参数配置，并确保每个会话 ID 全局唯一且不可预测。</t>
    <phoneticPr fontId="1" type="noConversion"/>
  </si>
  <si>
    <t>多角色用户管理：
系统应支持多角色权限管理，实现基于角色的访问控制（RBAC），确保用户仅能访问其授权范围内的资源，实现权限隔离。</t>
    <phoneticPr fontId="1" type="noConversion"/>
  </si>
  <si>
    <t>登录前安全提示：
访问系统时，应在身份验证之前显示可配置的安全提示信息（如授权声明、使用须知等），提示内容需经授权人员配置后方可生效。</t>
    <phoneticPr fontId="1" type="noConversion"/>
  </si>
  <si>
    <t>密码修改验证：
系统应支持用户修改密码功能，修改密码前必须验证旧密码的正确性。密码修改成功后，系统应立即使该用户的所有现有会话失效，强制重新登录以确保安全。</t>
    <phoneticPr fontId="1" type="noConversion"/>
  </si>
  <si>
    <t>管理员重置其他用户密码验证:
管理员修改其他用户密码前，必须验证管理员自身密码以确认操作权限。</t>
    <phoneticPr fontId="1" type="noConversion"/>
  </si>
  <si>
    <t>管理员独有权限配置:
系统管理员（Administrator）角色应配置独有权限，与其他角色权限严格隔离，防止权限滥用或越权操作。</t>
    <phoneticPr fontId="1" type="noConversion"/>
  </si>
  <si>
    <t>默认用户数量限制:
系统应限制默认账户的数量，禁止创建不必要的默认账户，降低安全风险。</t>
    <phoneticPr fontId="1" type="noConversion"/>
  </si>
  <si>
    <t>错误信息不应包含敏感信息（如用户密码等），仅返回通用提示。</t>
    <phoneticPr fontId="1" type="noConversion"/>
  </si>
  <si>
    <t>确保收集的数据是必须的，不必要的数据不收集（主要描述当前产品收集了哪些数据、用途是什么）</t>
    <phoneticPr fontId="1" type="noConversion"/>
  </si>
  <si>
    <t>远程维护：涉及邮箱等个人可识别信息（PII）不会在设备端进行任何形式的持久化存储，从根本上杜绝用户隐私泄露的风险。</t>
    <phoneticPr fontId="1" type="noConversion"/>
  </si>
  <si>
    <t>管理员忘记密码场景中的随机校验码应采用密码学安全的随机数生成算法，并设置合理的有效期。</t>
    <phoneticPr fontId="1" type="noConversion"/>
  </si>
  <si>
    <t>本地管理页面参数配置限制：
系统参数仅允许在用户登录后的本地管理页面进行配置，禁止通过远程或未认证接口修改。</t>
    <phoneticPr fontId="1" type="noConversion"/>
  </si>
  <si>
    <t>北向协议并发连接数限制：
对北向传输协议（HTTPS、MQTT、Modbus、IEC 104 等）应实现最大并发连接数限制，防止连接资源耗尽导致的拒绝服务攻击。</t>
    <phoneticPr fontId="1" type="noConversion"/>
  </si>
  <si>
    <t>北向协议输入验证与异常检测：
对北向传输协议（HTTPS、MQTT、Modbus、IEC 104 等）应实施输入验证和异常检测机制，畸形帧应被快速丢弃，避免消耗过多 CPU 资源。</t>
    <phoneticPr fontId="1" type="noConversion"/>
  </si>
  <si>
    <t>网络分段与配置保护：
1、EMU 接口应实施网络分段，GOOSE 快速调节端口与常规北向接口独立隔离；北向机机通信在未通过身份认证的情况下，禁止修改 EMU 本地网络配置。
2、调试网络接口应单独划入管理网段，仅允许授权终端访问，禁止通过北向协议访问；实际生产部署中，调试网口不应连接至任何业务网络交换机，保持物理断开或仅在调试时临时连接。</t>
    <phoneticPr fontId="1" type="noConversion"/>
  </si>
  <si>
    <t>加密与校验算法：
数据存储和传输过程应采用符合密码学最佳实践的加密和校验算法（如 AES-GCM、HMAC-SHA256、PBKDF2等），确保数据的机密性、完整性和可用性。
密钥长度要求：
加密密钥应使用推荐的安全长度（如 RSA 不少于 2048 位，ECC 不少于 256 位，对称密钥不少于 256 位），以抵御暴力破解攻击。
随机数生成：
系统应使用密码学安全的随机数生成算法，确保密钥、盐值、初始化向量等安全参数的不可预测性。</t>
    <phoneticPr fontId="1" type="noConversion"/>
  </si>
  <si>
    <t>私钥与密码安全存储：
私钥及相关密码应采用安全方式存储（如加密存储、硬件安全模块 HSM 等），严禁明文存储或硬编码于配置文件中。</t>
    <phoneticPr fontId="1" type="noConversion"/>
  </si>
  <si>
    <t>用户密码等关键数据加密存储</t>
    <phoneticPr fontId="1" type="noConversion"/>
  </si>
  <si>
    <t>增加备份与恢复功能，读取和导入配置文件时应增加完整性校验机制（如哈希校验、数字签名等），防止配置文件被篡改或损坏</t>
    <phoneticPr fontId="1" type="noConversion"/>
  </si>
  <si>
    <t>EMU内部署进程校验，防止未授权的进程访问敏感资产</t>
    <phoneticPr fontId="1" type="noConversion"/>
  </si>
  <si>
    <t xml:space="preserve">
数采部署安全启动，要有信任根
</t>
    <phoneticPr fontId="1" type="noConversion"/>
  </si>
  <si>
    <t>网络边界管控：
在上层交换机部署网络边界防火墙，配置异常流量清洗规则及速率阈值告警，实现边界安全防护。</t>
    <phoneticPr fontId="1" type="noConversion"/>
  </si>
  <si>
    <t>DoS 攻击后恢复：
系统应具备 DoS 攻击后自动恢复能力，攻击结束后能够自动恢复正常运行状态，无需人工干预。</t>
    <phoneticPr fontId="1" type="noConversion"/>
  </si>
  <si>
    <t>资源使用限制：
系统应提供通过安全功能限制资源使用的能力（如连接数限制、CPU/内存配额等），防止资源耗尽攻击。</t>
    <phoneticPr fontId="1" type="noConversion"/>
  </si>
  <si>
    <t>网络层防护：
在系统网络交换机上启用 ARP 防护、环路防护及广播风暴防护，并配置 IP 白名单限制可访问</t>
    <phoneticPr fontId="1" type="noConversion"/>
  </si>
  <si>
    <t>物理环境限制：EMU机柜带锁和防拆封条[EMU实现]</t>
    <phoneticPr fontId="1" type="noConversion"/>
  </si>
  <si>
    <t>具备恶意代码防护（安全编译）。</t>
    <phoneticPr fontId="1" type="noConversion"/>
  </si>
  <si>
    <t>1. 增加备份与恢复功能
2. 支持恢复出厂设置
3. 设置参数输入校验 
4. 敏感操作二次鉴权
5. 固件升级签名校验
6. 日志记录所有事件和操作
7. （系统）管理层执行权限分离、操作双人复核、补丁管理等工作</t>
    <phoneticPr fontId="1" type="noConversion"/>
  </si>
  <si>
    <t>日志全面记录：
示例：
1、所有密码修改操作须记录完整的审计日志，包括时间、用户、操作类型、源IP及结果。
2、所有登录尝试（成功/失败）须记录审计日志，包含时间、用户标识、源 IP、设备信息及结果。
3、日志记录所有事件和操作，系统应审计并记录所有操作日志，包括操作时间、操作人、操作类型及结果，确保所有行为可追溯、可审计。
4、系统对远程维护功能的启用、授权、连接建立及终止等所有关键操作均生成详细的日志记录，便于事后追溯与安全审计
5、安全事件日志记录，系统应记录安全相关事件，包括异常数据包的发送与接收、设备未响应、安全告警等关键事件，确保安全事件可追溯。
6、设备故障状态等记录
7、参数设置记录</t>
    <phoneticPr fontId="1" type="noConversion"/>
  </si>
  <si>
    <t>调试接口与物理端口管理：
调试串口（Debug）功能默认关闭，USB 接口预留为开发用途，SD 卡槽仅限于软件烧写使用。</t>
    <phoneticPr fontId="1" type="noConversion"/>
  </si>
  <si>
    <t>安全退役计划
制定设备安全退役计划，要求到期或损坏的设备强制报废并执行安全处置流程（由 PT1 实现），确保设备中的敏感数据不被泄露。</t>
    <phoneticPr fontId="1" type="noConversion"/>
  </si>
  <si>
    <t>数据清除功能
EMU 内各设备（Logger、PID-ISO、IO、PLC 等）应具备数据清除功能（恢复出厂设置），可在设备退役、转移或维护时彻底清除配置数据与运行记录。
备注： 若设备不存储用户敏感数据，可不涉及数据清除要求。</t>
    <phoneticPr fontId="1" type="noConversion"/>
  </si>
  <si>
    <t>1、制造商建立健全的漏洞管理机制，在生产和维护期间持续监控、分析处理漏洞
2、EMU在交付前进行漏洞扫描测试，确保交付前不存在可利用的漏洞
3、持续通过更新或补丁方式修复新发现可利用的漏洞
4、采用漏洞管理和三方组件管理机制，避免出现可利用漏洞[PT1, PT3实现]
5、发布前进行模糊测试、渗透测试，确保注入漏洞被修复</t>
    <phoneticPr fontId="1" type="noConversion"/>
  </si>
  <si>
    <t>风险转移：网络安全文档应明确告知用户重置用户名和密码时的安全风险及注意事项，做好风险告知与责任划分。</t>
  </si>
  <si>
    <t>风险转移：
制造商将在用户手册及网络安全手册中明确警示：用户在重置密码过程中，应通过安全通信渠道进行操作（如加密邮件、企业即时通讯加密通道、客服中心专用安全 APP 等）。因使用非安全渠道导致的凭证泄露或账户安全风险，由用户及客服中心自行承担</t>
    <phoneticPr fontId="1" type="noConversion"/>
  </si>
  <si>
    <t>SFTP</t>
    <phoneticPr fontId="1" type="noConversion"/>
  </si>
  <si>
    <t>攻击者通过自动化脚本枚举有效用户名，再用有效用户名进行暴力破解攻击</t>
    <phoneticPr fontId="1" type="noConversion"/>
  </si>
  <si>
    <t>数据资产：
Logger账号密码
Logger唯一标识符
安全资产：
重置校验码
安全重置密钥</t>
    <phoneticPr fontId="1" type="noConversion"/>
  </si>
  <si>
    <t xml:space="preserve">
1、加密与校验算法
数据存储和传输过程应采用符合密码学最佳实践的加密和校验算法（如 AES-GCM、HMAC-SHA256 等），确保数据的机密性、完整性和可用性。
2、密钥长度要求
加密密钥应使用推荐的安全长度（如 RSA 不少于 2048 位，ECC 不少于 256 位，对称密钥不少于 256 位），以抵御暴力破解攻击。
3、随机数生成
系统应使用密码学安全的随机数生成算法，确保密钥、盐值、初始化向量等安全参数的不可预测性。
4、证书定期替换
数字证书应设置有效期并定期替换，证书过期前应及时更新，避免因证书失效导致服务中断或安全风险。
</t>
    <phoneticPr fontId="1" type="noConversion"/>
  </si>
  <si>
    <t>1、固件升级包数字签名
固件升级包必须进行数字签名，验证合法性与完整性后方可执行升级，防止恶意固件植入。
2、通信加密与证书校验
所有通信链路应启用加密传输，并实施证书校验机制，确保通信双方身份可信。
3、云服务默认关闭
云服务功能默认应处于关闭状态，仅在明确需要时由授权管理员手动启用。</t>
    <phoneticPr fontId="1" type="noConversion"/>
  </si>
  <si>
    <t>设备在认证完成后，后续的调度指令或数据是否仍保持加密</t>
    <phoneticPr fontId="1" type="noConversion"/>
  </si>
  <si>
    <t>设备生成一次性远程访问链接，用于技术支持远程调试</t>
    <phoneticPr fontId="1" type="noConversion"/>
  </si>
  <si>
    <t>不可以接受，必须处置</t>
    <phoneticPr fontId="1" type="noConversion"/>
  </si>
  <si>
    <t>可接受</t>
    <phoneticPr fontId="1" type="noConversion"/>
  </si>
  <si>
    <t>开发阶段须处置，上市后可基于比例原则接受</t>
    <phoneticPr fontId="1" type="noConversion"/>
  </si>
  <si>
    <t>风险值和风险处置决策</t>
    <phoneticPr fontId="1" type="noConversion"/>
  </si>
  <si>
    <r>
      <rPr>
        <b/>
        <sz val="11"/>
        <color rgb="FF000000"/>
        <rFont val="Microsoft YaHei"/>
        <family val="2"/>
        <charset val="134"/>
      </rPr>
      <t>预期用途：</t>
    </r>
    <r>
      <rPr>
        <sz val="11"/>
        <color rgb="FF000000"/>
        <rFont val="Microsoft YaHei"/>
        <family val="2"/>
        <charset val="134"/>
      </rPr>
      <t xml:space="preserve">
1、物理防护与电气安全：为内置数据采集器（Logger4000/Logger5000）、MPLC、IPD-ISO、交换机等模块提供物理防护、稳定电源供给及电气安全隔离。
2、数据汇聚与协议转换：通过集成内部数据采集器，实现数据汇聚、协议转换与指令转发功能。
3、环境适应性保障：凭借IP66防护等级、端口电气隔离、防雷、防PID及绝缘阻抗检测功能，确保内部电子设备在户外环境下的长期稳定运行。
4、多协议数据采集：
（1）集成多路RS485端口，支持Modbus RTU协议采集南向设备数据（如逆变器、环境检测仪等）
（2）集成MPLC电力载波通信接口，支持通过交流电力线载波通信采集逆变器运行数据
5、网络接入与数据传输：内部数据采集器的以太网接口或交换机光纤接口（EMU装置内置交换机时），通过客户网络接入站控SCADA系统，或经4G路由器传输至阳光云平台。
6、调度指令处理：接收并转发调度指令，包括有功/无功调节、远程参数设置等。
7、Web管理界面：提供Web配置界面，支持参数配置、固件升级等功能。
8、多协议通信支持：支持MQTT、HTTPS、Modbus TCP、Modbus RTU、IEC104、GOOSE、SFTP等多种通信协议。
</t>
    </r>
    <r>
      <rPr>
        <b/>
        <sz val="11"/>
        <color rgb="FF000000"/>
        <rFont val="Microsoft YaHei"/>
        <family val="2"/>
        <charset val="134"/>
      </rPr>
      <t xml:space="preserve">合理可预见的使用：
</t>
    </r>
    <r>
      <rPr>
        <sz val="11"/>
        <color rgb="FF000000"/>
        <rFont val="Microsoft YaHei"/>
        <family val="2"/>
        <charset val="134"/>
      </rPr>
      <t>1、本地运维管理：运维工程师通过 Web 界面完成参数配置、固件升级、日志导出等本地操作。
2、数据采集监控：SCADA 系统通过 EMU 获取逆变器等南向设备的实时运行数据。
3、远程调度控制：电网调度中心通过 EMU 向逆变器下发有功/无功功率调节指令。
4、数据桥梁作用：EMU 作为现场设备与上层管理系统之间的通信网关，实现数据双向传输。</t>
    </r>
    <phoneticPr fontId="1" type="noConversion"/>
  </si>
  <si>
    <t>目标用户群体</t>
    <phoneticPr fontId="1" type="noConversion"/>
  </si>
  <si>
    <t>由具备电气及自动化知识的专业人员，在光伏电站现场进行安装、接线和维护。</t>
    <phoneticPr fontId="1" type="noConversion"/>
  </si>
  <si>
    <t>EMU-FUC-001</t>
    <phoneticPr fontId="1" type="noConversion"/>
  </si>
  <si>
    <t>EMU-FUC-002</t>
    <phoneticPr fontId="1" type="noConversion"/>
  </si>
  <si>
    <t>EMU-FUC-004</t>
    <phoneticPr fontId="1" type="noConversion"/>
  </si>
  <si>
    <t>EMU-FUC-005</t>
    <phoneticPr fontId="1" type="noConversion"/>
  </si>
  <si>
    <t>EMU-FUC-006</t>
    <phoneticPr fontId="1" type="noConversion"/>
  </si>
  <si>
    <t>EMU-FUC-008</t>
    <phoneticPr fontId="1" type="noConversion"/>
  </si>
  <si>
    <t>EMU-FUC-009</t>
    <phoneticPr fontId="1" type="noConversion"/>
  </si>
  <si>
    <t>EMU-FUC-010</t>
    <phoneticPr fontId="1" type="noConversion"/>
  </si>
  <si>
    <t>EMU-FUC-011</t>
    <phoneticPr fontId="1" type="noConversion"/>
  </si>
  <si>
    <t>EMU-FUC-012</t>
    <phoneticPr fontId="1" type="noConversion"/>
  </si>
  <si>
    <t>EMU-REG-001</t>
    <phoneticPr fontId="1" type="noConversion"/>
  </si>
  <si>
    <t>EMU-REG-002</t>
  </si>
  <si>
    <t>EMU-REG-003</t>
  </si>
  <si>
    <t>EMU-REG-004</t>
  </si>
  <si>
    <t>EMU-REG-005</t>
  </si>
  <si>
    <t>EMU-REG-006</t>
  </si>
  <si>
    <t>EMU-REG-007</t>
  </si>
  <si>
    <t>EMU-REG-008</t>
  </si>
  <si>
    <t>EMU-REG-009</t>
  </si>
  <si>
    <t>EMU-REG-010</t>
  </si>
  <si>
    <t>EMU-REG-011</t>
  </si>
  <si>
    <t>EMU-REG-012</t>
  </si>
  <si>
    <t>EMU-REG-013</t>
  </si>
  <si>
    <t>EMU-REG-014</t>
  </si>
  <si>
    <t>EMU-REG-015</t>
  </si>
  <si>
    <t>EMU-REG-016</t>
  </si>
  <si>
    <t>EMU-REG-017</t>
  </si>
  <si>
    <t>EMU-REG-018</t>
  </si>
  <si>
    <t>EMU-REG-019</t>
  </si>
  <si>
    <t>EMU-REG-020</t>
  </si>
  <si>
    <t>EMU-REG-021</t>
  </si>
  <si>
    <t>EMU-REG-022</t>
  </si>
  <si>
    <t>EMU-REG-023</t>
  </si>
  <si>
    <t>EMU-REG-024</t>
  </si>
  <si>
    <t>EMU-REG-025</t>
  </si>
  <si>
    <t>EMU-REG-026</t>
  </si>
  <si>
    <t>EMU-REG-027</t>
  </si>
  <si>
    <t>EMU-REG-028</t>
  </si>
  <si>
    <t>EMU-REG-029</t>
  </si>
  <si>
    <t>EMU-REG-030</t>
  </si>
  <si>
    <t>EMU-REG-031</t>
  </si>
  <si>
    <t>EMU-REG-032</t>
  </si>
  <si>
    <t>EMU-REG-033</t>
  </si>
  <si>
    <t>EMU-REG-034</t>
  </si>
  <si>
    <t>EMU-REG-035</t>
  </si>
  <si>
    <t>EMU-REG-036</t>
  </si>
  <si>
    <t>EMU-REG-037</t>
  </si>
  <si>
    <t>EMU-REG-038</t>
  </si>
  <si>
    <t>EMU-REG-039</t>
  </si>
  <si>
    <t>EMU-REG-040</t>
  </si>
  <si>
    <t>EMU-REG-041</t>
  </si>
  <si>
    <t>EMU-REG-042</t>
  </si>
  <si>
    <t>EMU-REG-043</t>
  </si>
  <si>
    <t>EMU-REG-044</t>
  </si>
  <si>
    <t>EMU-REG-045</t>
  </si>
  <si>
    <t>EMU-REG-046</t>
  </si>
  <si>
    <t>EMU-REG-047</t>
  </si>
  <si>
    <t>EMU-REG-048</t>
  </si>
  <si>
    <t>EMU-REG-049</t>
  </si>
  <si>
    <t>EMU-REG-050</t>
  </si>
  <si>
    <t>EMU-REG-051</t>
  </si>
  <si>
    <t>EMU-REG-052</t>
  </si>
  <si>
    <t>EMU-REG-053</t>
  </si>
  <si>
    <t>EMU-REG-054</t>
  </si>
  <si>
    <t>EMU-REG-055</t>
  </si>
  <si>
    <t>EMU-REG-056</t>
  </si>
  <si>
    <t>EMU-REG-057</t>
  </si>
  <si>
    <t>EMU-REG-058</t>
  </si>
  <si>
    <t>EMU-REG-059</t>
  </si>
  <si>
    <t>EMU-REG-060</t>
  </si>
  <si>
    <t>EMU-REG-061</t>
  </si>
  <si>
    <t>EMU-REG-062</t>
  </si>
  <si>
    <t>EMU-REG-063</t>
  </si>
  <si>
    <t>EMU-REG-064</t>
  </si>
  <si>
    <t>EMU-REG-065</t>
  </si>
  <si>
    <t>EMU-REG-066</t>
  </si>
  <si>
    <t>EMU-REG-067</t>
  </si>
  <si>
    <t>EMU-REG-068</t>
  </si>
  <si>
    <t>EMU-REG-069</t>
  </si>
  <si>
    <t>EMU-REG-070</t>
  </si>
  <si>
    <t>EMU-REG-071</t>
  </si>
  <si>
    <t>EMU-REG-072</t>
  </si>
  <si>
    <t>EMU-REG-073</t>
  </si>
  <si>
    <t>EMU-REG-074</t>
  </si>
  <si>
    <t>EMU-REG-075</t>
  </si>
  <si>
    <t>EMU-REG-076</t>
  </si>
  <si>
    <t>EMU-REG-077</t>
  </si>
  <si>
    <t>EMU-REG-078</t>
  </si>
  <si>
    <t>EMU-REG-079</t>
  </si>
  <si>
    <t>EMU-REG-080</t>
  </si>
  <si>
    <t>EMU-REG-081</t>
  </si>
  <si>
    <t>EMU-REG-082</t>
  </si>
  <si>
    <t>EMU-REG-083</t>
  </si>
  <si>
    <t>EMU-REG-084</t>
  </si>
  <si>
    <t>EMU-REG-085</t>
  </si>
  <si>
    <t>EMU-REG-086</t>
  </si>
  <si>
    <t>不涉及</t>
    <phoneticPr fontId="1" type="noConversion"/>
  </si>
  <si>
    <t>涉及</t>
    <phoneticPr fontId="1" type="noConversion"/>
  </si>
  <si>
    <t>[Logger实现]
1. 记录日志安全事件，如异常数据包发送和接收、设备未响应和告警等事件
2. 日志包含时间戳
不涉及</t>
    <phoneticPr fontId="1" type="noConversion"/>
  </si>
  <si>
    <t>涉及（备注： 若设备不存储用户敏感数据，可不涉及。）</t>
    <phoneticPr fontId="1" type="noConversion"/>
  </si>
  <si>
    <t>详见交换机风险分析sheet页AH（由供应商厂家解决）</t>
    <phoneticPr fontId="1" type="noConversion"/>
  </si>
  <si>
    <t>南向设备也需要配置安全防护机制，防止固件被篡改。</t>
    <phoneticPr fontId="1" type="noConversion"/>
  </si>
  <si>
    <t>（系统）在系统网络交换机上启动ARP防护和环路与广播防护，并限制能访问EMU的IP
(系统）建立安全管理制度，</t>
    <phoneticPr fontId="1" type="noConversion"/>
  </si>
  <si>
    <t>EMU的证书管理机制应具备以下核心功能：
证书签名验证：能够校验给定证书的数字签名，确保其完整性和签发来源的真实性。
证书链验证：支持完整的证书链校验，从终端证书至根证书逐级验证，确保证书的信任路径有效。
自签名证书部署：对于自签名证书，须将叶子证书（终端实体证书）预先部署至所有与该证书所标识对象通信的主机节点，以保证互信。
吊销状态检查：支持证书吊销状态的实时查询与验证（如CRL或OCSP），确保证书在有效期内未被撤销。
私钥控制权归属：确认用户（软件、人员或设备）对相应私钥具有排他性控制权。为实现这一目标，除基本要求外，还应至少满足以下增强措施：
1、私钥文件须采用强密码并结合对称加密算法（如AES-256）进行加密存储，且该密码本身应使用同等强度的加密算法予以保护；
2、私钥应优先存储在防篡改硬件（如TPM芯片、专用加密卡或HSM）中，私钥材料全程不离开硬件，所有签名或解密操作仅通过硬件API调用执行；
3、私钥文件的访问权限应严格受限，例如将文件权限设为600（仅属主可读写），且属主须为运行TLS服务的专用操作系统账户或服务账户，禁止其他用户或进程访问。
4、身份映射与认证：基于验证后的证书信息，通过比对目标对象的主题名称（Subject Name）、通用名称（CN）或可分辨名称（DN），将已认证的身份映射至对应的实际用户或实体。</t>
    <phoneticPr fontId="1" type="noConversion"/>
  </si>
  <si>
    <t xml:space="preserve">
web访问数据必须通过 HTTPS 加密通道进行（由 Logger 实现），防止传输过程中的窃听和中间人攻击。</t>
    <phoneticPr fontId="1" type="noConversion"/>
  </si>
  <si>
    <t xml:space="preserve">
Modbus、IEC 104 等协议应启用加密传输（如 TLS），默认禁用 GOOSE 等明文协议，降低数据泄露风险。</t>
    <phoneticPr fontId="1" type="noConversion"/>
  </si>
  <si>
    <t xml:space="preserve">
EMU/Logger 应配置双向身份认证机制，能够识别自身身份并验证对向通信方的合法性，同时可将自身凭证发送给对方进行确认。支持 TLS 双向证书校验、预共享密钥（PSK）等认证方式。</t>
    <phoneticPr fontId="1" type="noConversion"/>
  </si>
  <si>
    <t xml:space="preserve">
对北向传输协议（HTTPS、MQTT、Modbus、IEC 104 等）应实现最大并发连接数限制，防止连接资源耗尽导致的拒绝服务攻击。</t>
    <phoneticPr fontId="1" type="noConversion"/>
  </si>
  <si>
    <t xml:space="preserve">
对北向传输协议（HTTPS、MQTT、Modbus、IEC 104 等）应实施输入验证和异常检测机制，畸形帧应被快速丢弃，避免消耗过多 CPU 资源。</t>
    <phoneticPr fontId="1" type="noConversion"/>
  </si>
  <si>
    <t xml:space="preserve">
系统应提供设备连接管理页面，用于集中管理所有连接的设备。例如，上位系统通过 Modbus-TCP 连接时应提供组件状态概览，并通过 IP 地址和端口识别功能，进一步提升 EMU 的追踪与管理能力。</t>
    <phoneticPr fontId="1" type="noConversion"/>
  </si>
  <si>
    <t xml:space="preserve">
数字证书应设置有效期并定期替换，证书过期前应及时更新，避免因证书失效导致服务中断或安全风险。</t>
    <phoneticPr fontId="1" type="noConversion"/>
  </si>
  <si>
    <t xml:space="preserve">
系统应导入受信任 CA 签名的数字证书，定期更新证书，并在证书过期前 90 天发出告警提示，避免因证书失效导致服务中断。</t>
    <phoneticPr fontId="1" type="noConversion"/>
  </si>
  <si>
    <t>远程维护功能严格遵循安全优先的设计原则，具体机制如下：
1、默认关闭策略：该功能在设备出厂或系统初始状态下处于完全禁用状态，确保未经授权不得启用。
2、显式授权与二次鉴权：启用该功能必须由持有 Administrator 账号的管理员进行明确授权，且在授权操作时，系统强制要求再次输入用户密码，执行二次身份校验，以防范越权或误操作。
3、加密认证通信通道：所有远程维护流量均通过安全加密且具备双向认证机制的通道接入公共网络，可有效抵御中间人攻击（MITM），并防止通信内容被窃听或篡改。
4、用户隐私数据零存储：涉及邮箱等个人可识别信息（PII）不会在设备端进行任何形式的持久化存储，从根本上杜绝用户隐私泄露的风险。
5、用户数据收集最小化：确保收集的数据是必须的，不必要的数据不收集（主要描述当前产品收集了哪些数据、用途是什么）
6、全流程操作审计：系统对远程维护功能的启用、授权、连接建立及终止等所有关键操作均生成详细的日志记录，便于事后追溯与安全审计</t>
    <phoneticPr fontId="1" type="noConversion"/>
  </si>
  <si>
    <t xml:space="preserve">
配置文件和日志导出时必须设置压缩密码，导入时需输入解压密码方可还原，确保数据在传输和存储过程中的机密性。日志导出时必须进行加密处理（如 AES-256），防止传输和存储过程中的泄露风险。</t>
    <phoneticPr fontId="1" type="noConversion"/>
  </si>
  <si>
    <t xml:space="preserve">
日志应持久化存储于独立存储介质，并实施严格的访问控制，仅授权人员可查阅。</t>
    <phoneticPr fontId="1" type="noConversion"/>
  </si>
  <si>
    <t xml:space="preserve">
系统应默认启用日志记录功能，无需手动配置，确保所有安全相关事件自动留痕。</t>
    <phoneticPr fontId="1" type="noConversion"/>
  </si>
  <si>
    <t xml:space="preserve">
系统应具备审计日志处理失败响应机制，当日志写入失败时应触发告警并采取降级或保护措施。</t>
    <phoneticPr fontId="1" type="noConversion"/>
  </si>
  <si>
    <t xml:space="preserve">
所有日志记录必须包含精确的时间戳，以便事件定位与审计分析。</t>
    <phoneticPr fontId="1" type="noConversion"/>
  </si>
  <si>
    <t xml:space="preserve">
默认禁用所有调试和维护接口，如确需访问，必须实施安全防护措施并通过安全身份验证。</t>
    <phoneticPr fontId="1" type="noConversion"/>
  </si>
  <si>
    <t xml:space="preserve">
所有非必要服务及网络调试接口（如 MMS、SSH 等）默认应处于关闭状态，仅在需要时由授权人员启用。</t>
    <phoneticPr fontId="1" type="noConversion"/>
  </si>
  <si>
    <t xml:space="preserve">
加固 SSH 配置，禁用所有已知弱算法（如 RSA-1024、3DES、MD5 等），仅允许使用强加密算法和密钥交换协议。</t>
    <phoneticPr fontId="1" type="noConversion"/>
  </si>
  <si>
    <t xml:space="preserve">
默认关闭 HTTP 明文协议，启用 TLS 1.2 及以上版本，并配置安全密码套件，禁用弱加密算法。</t>
    <phoneticPr fontId="1" type="noConversion"/>
  </si>
  <si>
    <t xml:space="preserve">
默认关闭所有未使用的通信协议，仅开放必要的协议服务，减少攻击面。</t>
    <phoneticPr fontId="1" type="noConversion"/>
  </si>
  <si>
    <t xml:space="preserve">
云服务功能默认应处于关闭状态，仅在明确需要时由授权管理员手动启用。</t>
    <phoneticPr fontId="1" type="noConversion"/>
  </si>
  <si>
    <t xml:space="preserve">
所有网络通信应默认启用 TLS 加密协议，确保数据传输的机密性与完整性。</t>
    <phoneticPr fontId="1" type="noConversion"/>
  </si>
  <si>
    <t xml:space="preserve">
严格遵循默认安全配置原则，仅开放必要的网络服务，所有非必要服务默认关闭，最小化攻击面。</t>
    <phoneticPr fontId="1" type="noConversion"/>
  </si>
  <si>
    <t>敏感操作二次鉴权:
执行敏感操作（如删除数据、修改配置、导出信息、恢复出厂设置等）前，必须进行二次身份验证。</t>
    <phoneticPr fontId="1" type="noConversion"/>
  </si>
  <si>
    <t>在管理员重置密码场景，如果SN号和校验码在管理员操作前泄露，可能被用于欺骗运维人员以重置密码，导致一下安全影响：
1. SN号和校验码被窃取，影响机密性
2. 管理员被仿冒，影响真实性
3. 最高权限泄露，影响授权性
4. 无法确认是谁重置密码，影响不可抵赖性</t>
  </si>
  <si>
    <t>在管理员重置密码场景，如果EMU校验码随机性不足或生成算法简单，可能在SN码泄露后就被快速生成或暴力破解，导致密码被重置：
1. 校验码算法被破解，影响机密性
2. 管理员被仿冒，影响真实性
3. 最高权限泄露，影响授权性
4. 无法确认是谁重置密码，影响不可抵赖性</t>
  </si>
  <si>
    <t>在管理员重置密码场景，用户通过不安全的通信方式（如明文邮件、未加密即时消息）将校验码和SN发送给客服。导致通信被截获，获取有效校验码和SN，然后抢先联系客服重置密码，或利用截获的重置密钥自行重置。
1. 重置密码参数被泄露，影响机密性
2. 管理员被仿冒，影响真实性
3. 最高权限泄露，影响授权性
4. 无法确认是谁重置密码，影响不可抵赖性</t>
  </si>
  <si>
    <t>在管理员重置密码场景，如果重置客服系统被攻陷，大量EMU可能被批量重置密码</t>
  </si>
  <si>
    <t>EMU/Logger 的 Web 登录界面在认证失败时，返回的错误信息过于详细（如区分“用户名不存在”和“密码错误”），可能被自动化脚本枚举有效用户名，获取账号信息后进一步实施暴力破解或定向攻击，影响以下安全属性：
机密性：可能导致进一步的账号密码泄露
真实性：账号泄露后可能导致仿冒登录</t>
  </si>
  <si>
    <t>Logger/EMU出厂时存在默认弱密码或未强制修改，Web管理界面可能被默认密码登录，获取管理员权限，导致以下安全影响：
1. 设备配置（如北向服务器IP和密码）、运行数据、日志信息可能被导出，影响机密性
2. 设备配置、运行数据被恶意篡改，影响完整性
3. 管理员身份被冒充，影响真实性
4. 设备运维功能可能被恶意停用，影响可用性
5. 攻击者获得管理员或运维权限，执行越权操作，影响授权性
6. 攻击者使用他人账号操作导致攻击无法追溯，影响不可抵赖性</t>
    <phoneticPr fontId="1" type="noConversion"/>
  </si>
  <si>
    <t>密码修改接口（包括用户修改自身密码和管理员修改其他用户密码）如未强制验证旧密码，或验证逻辑存在绕过漏洞（如参数篡改、直接调用后端接口），则密码可能在不知情状态下被他人修改，影响以下安全属性：
1. 真实性：用户被他人仿冒修改密码
2. 授权性：密码被任意修改导致权限泄露</t>
    <phoneticPr fontId="1" type="noConversion"/>
  </si>
  <si>
    <t>用户修改密码后，设备未使其他已登录会话（如攻击者之前窃取的Cookie/Token）失效。旧会话继续用于操作设备，绕过新密码防护。
影响以下安全属性：
1. 真实性：修改密码后的旧会话仍可仿冒管理员用于攻击
1. 授权性：修改密码后的会话仍可拥有对应权限</t>
    <phoneticPr fontId="1" type="noConversion"/>
  </si>
  <si>
    <t>Logger用户权限管理不当（如普通用户权限过高、未删除过期账户），低权限用户可越权执行管理员操作，修改关键配置、恶意增删改其他用户或导出敏感数据。</t>
    <phoneticPr fontId="1" type="noConversion"/>
  </si>
  <si>
    <t>Logger/EMU及其子组件（录波小板、PLC模块、PID模块、IO板等）在固件安装和启动时缺少安全校验可能被通过广域网或局域网篡改升级包植入恶意固件，获得持久性控制，绕过所有软件安全机制，导致以下安全影响：
1. 机密性：植入恶意固件后可窃取设备中存储的配置数据、密码哈希、证书私钥等敏感信息。
2. 完整性：固件本身被篡改，系统完整性被破坏。恶意固件可进一步修改系统文件、配置和日志。
3. 真实性：设备无法验证固件来源的真实性，可冒充合法制造商推送恶意固件
4. 可用性：恶意固件可能导致设备功能异常、频繁重启或完全瘫痪，中断数据采集与转发服务
5. 授权性：可通过固件植入获得最高权限（运维/管理员），绕过所有访问控制机制
6. 不可抵赖性：攻击者可通过固件清除或篡改日志，且升级操作无法追溯到具体个人。</t>
    <phoneticPr fontId="1" type="noConversion"/>
  </si>
  <si>
    <t>交换机更新后没有校验真实性和完整性，可能导致设备被安装被篡改、伪造或降级的固件包，影响EMU的完整性、真实性和可用性</t>
    <phoneticPr fontId="1" type="noConversion"/>
  </si>
  <si>
    <t>EMU的参数设置和数据监控功能，如果被安装低版本固件，可能导致PLC、PID-ISO被已知漏洞攻击，导致参数设置和数据监控功能不可用。影响的安全属性：
1. 完整性：EMU被已知漏洞利用攻击，导致数据被篡改
2. 真实性：EMU被已知漏洞利用攻击，可能导致冒用管理员身份攻击
3. 可用性：EMU已知漏洞被利用导致设备运行功能被影响</t>
    <phoneticPr fontId="1" type="noConversion"/>
  </si>
  <si>
    <t>如果EMU缺少自动更新功能，它将面临因安全漏洞无法被及时修补而导致的多种风险。操作人员需要手动进行更新，这就产生了延迟，从而使系统暴露在已知的风险之中，可能损害真实性、完整性和可用性</t>
  </si>
  <si>
    <t>Logger的SSH调试通道未使用推荐配置，导致SSH通道不安全，攻击者可能借此解密或篡改SSH通信内容，影响传输的机密性、完整性和真实性</t>
    <phoneticPr fontId="1" type="noConversion"/>
  </si>
  <si>
    <t>Logger/EMU未启用审计日志或日志存储于易失性存储器，入侵后操作记录如果被清除，导致无法追溯攻击来源、时间和行为，影响事件调查与合规审计。</t>
  </si>
  <si>
    <t>用户密码、证书、证书私钥等敏感数据明文存储，可能导致敏感数据被泄露或篡改，导致管理员账户被窃取、通信被监听或冒用等风险</t>
    <phoneticPr fontId="1" type="noConversion"/>
  </si>
  <si>
    <t>Logger/EMU的调试接口（如Debug串口、USB、Micro SD）或非必要网络服务（如未使用的转发协议）在默认配置下开启，攻击者可利用这些接口或服务进行未授权访问、提取配置或植入后门。影响的安全属性：
1. 完整性：攻击者利用未授权调试口篡改设备参数
2. 机密性：攻击者利用调试口窃取设备敏感数据
3. 可用性：攻击者使用调试口可能损坏设备
4. 授权性：攻击者可能通过默认开启的调试口获取管理员权限
5. 不可抵赖性：由于调试口默认开启，无法确认使用调试口的具体人员</t>
  </si>
  <si>
    <t>退役或返厂的Logger/EMU未彻底清除配置数据和日志，新持有者可通过读取存储芯片或恢复出厂设置不足获取残留的网络拓扑、管理员密码哈希、密钥等敏感信息，用于攻击其他设备。</t>
    <phoneticPr fontId="1" type="noConversion"/>
  </si>
  <si>
    <t>由于设备启动时未实施安全启动（Secure Boot）链验证（即不检查引导加载程序、内核、文件系统的签名），篡改后的恶意固件被正常加载执行，攻击获得持久性控制，绕过所有软件安全机制。导致以下安全影响：
1. 机密性：植入恶意固件后可窃取设备中存储的配置数据、密码哈希、证书私钥等敏感信息。
2. 完整性：固件本身被篡改，系统完整性被破坏。恶意固件可进一步修改系统文件、配置和日志。
3. 真实性：设备无法验证固件来源的真实性，攻击者可伪造任意操作系统镜像。
4. 可用性：恶意固件可能导致设备功能异常、频繁重启或完全瘫痪，中断数据采集与转发服务
5. 授权性：可通过固件植入获得最高权限（运维/管理员），绕过所有访问控制机制
6. 不可抵赖性：攻击者可通过固件清除或篡改日志，攻击操作和固件烧写无法追溯到具体个人。</t>
    <phoneticPr fontId="1" type="noConversion"/>
  </si>
  <si>
    <t>交换机没有配置安全启动功能，可能导致固件被恶意替换时无法检测问题，被植入后门、恶意代码，或利用漏洞被实施攻击，影响EMU的完整性、真实性和可用性</t>
    <phoneticPr fontId="1" type="noConversion"/>
  </si>
  <si>
    <t>电站现场的Logger/EMU机柜被物理接触，通过调试串口、复位按钮或拆解设备直接读取存储芯片或接入内部总线，绕过所有网络访问控制，获取最高权限、损害设备功能或或窃取敏感数据。</t>
  </si>
  <si>
    <t>运维人员通过本地Web界面或物理接口对Logger/EMU进行手动配置、固件升级或备份恢复时，因操作失误、补丁遗漏或配置不一致，导致安全策略失效或设备长期存在已知漏洞。</t>
  </si>
  <si>
    <t>Logger/EMU在认证完成后，如果后续的调度指令或数据未强制加密，已认证会话中的指令可能被篡改，造成功率输出错误或敏感信息泄露。</t>
    <phoneticPr fontId="1" type="noConversion"/>
  </si>
  <si>
    <t>如果EMU管理页面的会话未做安全机制保护，可能存在会话超时后未强制登出、会话ID超时后未失效、会话ID不唯一且可预测等问题，影响以下安全属性：
1. 机密性：攻击者可利用劫持的会话查看设备配置、运行数据、日志等敏感信息。
2. 完整性：攻击者可利用有效会话修改设备参数、下发调度指令、篡改配置。
3. 真实性：攻击者冒充合法用户身份，设备无法区分真实用户与攻击者。
4. 授权性：攻击者通过劫持高权限会话，获得超越自身权限的操作能力。
5. 不可抵赖性：攻击者利用他人会话操作，日志记录的操作者与实际操作人不符，无法追溯。</t>
    <phoneticPr fontId="1" type="noConversion"/>
  </si>
  <si>
    <t>EMU/Logger的Web管理界面在处理用户输入时，未对特殊字符进行充分过滤或转义，也未对输出到页面的数据进行编码。攻击者可利用输入点（如搜索框、参数配置字段、文件名等）构造恶意输入，导致命令注入、SQL注入、XSS、日志注入或路径遍历等攻击，从而窃取数据、篡改配置、获取控制权或破坏系统。影响的安全属性：
1. 机密性：命令注入、SQL注入、路径遍历可读取系统文件、配置数据；XSS可窃取会话Cookie
2. 完整性：命令注入可修改系统配置、上传恶意文件；SQL注入可篡改数据库；日志注入可伪造操作记录
3. 真实性：攻击者可冒充合法用户身份执行操作；日志注入可伪造他人操作痕迹
4. 可用性：命令注入可导致系统崩溃、文件被删除；XSS可破坏页面显示
5. 授权性：攻击者可绕过身份认证执行系统命令或越权访问数据
6. 不可抵赖性：日志注入破坏审计记录的可靠性，无法追溯真实操作人员</t>
    <phoneticPr fontId="1" type="noConversion"/>
  </si>
  <si>
    <t>Logger/EMU支持配置备份/恢复、日志导出、固件升级（包括主设备及录波小板、PLC模块等子组件），若未加密或未认证，可能被泄露敏感配置或上传恶意固件。</t>
  </si>
  <si>
    <t>Logger的远程维护链接泄露或被截获，可能被导出配置或修改运行参数。</t>
  </si>
  <si>
    <t>Logger的HTTPS/TLS证书管理混乱（如使用默认证书、未定期更新、私钥泄露），过期或伪造证书可能被利用实施中间人攻击，解密TLS通信数据。</t>
  </si>
  <si>
    <t>Logger/EMU在数据加密存储或传输过程中使用过时的加密算法（如MD5、DES、TLS 1.0），则密文可被窃取，导致账户密码被泄露或伪造合法通信。</t>
  </si>
  <si>
    <t>Logger/EMU的网络接口收到大量畸形包、广播风暴或恶意协议报文，导致CPU过载、内存耗尽或系统崩溃，造成数据采集和转发服务中断，影响电站监控与调度。</t>
  </si>
  <si>
    <t>Logger/EMU的TLS/HTTPS未使用推荐配置，导致弱随机数问题（设备生成的会话ID或加密密钥可被预测，攻击者可借此劫持用户会话或解密通信）、证书缺陷问题（使用默认或过期证书，攻击者可伪造设备身份实施中间人攻击，窃取登录凭证和指令）等风险，影响传输的机密性、完整性和真实性</t>
  </si>
  <si>
    <t>EMU可能被电力线上注入干扰信号或MPLC载波数据被监听，导致通信中断或窃取发电量、运行状态等敏感信息。</t>
  </si>
  <si>
    <t>如果南向设备（逆变器、电表等）被攻陷，在响应EMU的正常数据查询时，返回经过伪造的寄存器值（如错误的电压/电流、虚假的发电量、伪造的故障状态等）。EMU作为主机，采集到这些不准确的数据后，可能导致：
1. 后台监控系统显示错误数据，误导运维决策，影响数据完整性；
2. 闭环功率调度（如有功/无功功率调节）基于错误反馈值，导致调节异常或电网不稳定，影响EMU可用性。</t>
    <phoneticPr fontId="1" type="noConversion"/>
  </si>
  <si>
    <t>与Logger/EMU处于同一以太网广播域的设备（如被入侵的交换机、上位机或环网中其他数据采集器）被攻陷后，攻击者通过ARP欺骗、广播风暴或横向移动访问Logger/EMU的管理页面，利用弱口令或漏洞获得控制权。</t>
  </si>
  <si>
    <t>内网中其他路由可达的设备（如被入侵的交换机、4G路由器、服务器）作为跳板，Logger/EMU的开放管理端口可能在网络扫描时被发现，利用漏洞或弱认证获取管理权限，进而控制数据采集与转发。</t>
  </si>
  <si>
    <t>Logger/EMU解析MODBUS、IEC104、GOOSE等协议时，未对畸形包或异常封装进行充分校验，通过精心构造的协议报文可触发缓冲区溢出或解析器崩溃，导致设备重启或远程代码执行，影响完整性和可用性。
注：29行是DDoS攻击，本条是指利用协议漏洞进行远程代码执行（RCE）或设备崩溃，攻击方式一样但攻击目的不同，因此分开编写</t>
  </si>
  <si>
    <t>IEC104和Modbus TCP等无认证协议默认开启，攻击者可通过发送大量异常或畸形报文，耗尽设备的TCP连接资源或CPU资源，导致正常的数据采集和转发服务中断，影响电站监控与调度。</t>
  </si>
  <si>
    <t>Logger/EMU通过未加密的MODBUS、IEC104、GOOSE协议传输数据，网络拓扑、运行参数等敏感信息可能在传输时被泄露或篡改，为后续攻击提供情报。</t>
  </si>
  <si>
    <t>Logger/EMU在MODBUS、IEC104、GOOSE等协议上未配置双向机-机认证，攻击者可注入虚假拓扑信息、伪造传感器数据或篡改调度指令，导致功率调节异常或设备误动作。影响传输的完整性和真实性</t>
  </si>
  <si>
    <t>阳光云平台被攻陷后，Logger/EMU可能被批量下发恶意固件、下发恶意配置参数、窃取云端存储数据等攻击，导致以下安全影响：
1. 电站数据被窃取，影响机密性
2. EMU被下发恶意固件，影响完整性和可用性
3. 云平台被仿冒，影响真实性
4. 云管理能力被窃取，影响授权性
5. 云平台存储的日志可能被篡改或删除，影响不可抵赖性</t>
  </si>
  <si>
    <t>三方组件存在已知漏洞风险,EMU可能因为已知漏洞导致管理员或更高权限泄露、被攻窃取数据、篡改设备参数和审计日志等问题。</t>
  </si>
  <si>
    <t>损害功能：PLC、PID-ISO、IO板的参数设置和数据监控功能，如果固件遭受篡改攻击，将引起设备安装损害或恶意固件，导致参数设置和数据监控功能不可用
用户影响：影响EMU的真实性、完整性和可用性</t>
  </si>
  <si>
    <t>损害功能：PLC、PID-ISO、IO板的参数设置和数据监控功能，如果被安装低版本固件，可能导致PLC、PID-ISO、IO板被已知漏洞攻击，导致参数设置和数据监控功能不可用
用户影响：影响EMU的真实性、完整性和可用性</t>
  </si>
  <si>
    <t>损害功能：PLC、PID-ISO、IO板的参数设置和数据监控功能，如果收发的Modbus-RTU传输数据被篡改，可能导致参数设置和数据监控功能不可用
用户影响：影响EMU的真实性、完整性和可用性</t>
  </si>
  <si>
    <t>1. 损害功能：PLC、PID-ISO、IO板的参数设置和数据监控功能，如果PLC、PID-ISO通过Modbus-RTU接收的固件被窃取，可能导致固件被发现漏洞
用户影响：影响EMU固件的机密性
2.损害功能：PLC、PID-ISO、IO板的参数设置和数据监控功能： PLC、PID-ISO、IO板传输到Logger的数据被窃取，可能导致商业机密泄露
用户影响：影响数据的机密性</t>
    <phoneticPr fontId="1" type="noConversion"/>
  </si>
  <si>
    <t>损害功能：PLC、PID-ISO、IO板的参数设置和数据监控功能。PLC、PID-ISO、IO板所在的EMU机柜可能被未授权的人员打开，导致PLC、PID-ISO、IO板功能异常或停止、数据被篡改或泄漏等问题
用户影响：影响EMU的完整性、可用性、授权性</t>
  </si>
  <si>
    <t>损害功能：PLC、PID-ISO的参数设置和数据监控功能。PLC、PID-ISO在需要报废的场景（如到达使用年限、部件损坏等）未按要求报废，会导致功能运行失常，审计证据可信度下降等问题
用户影响：影响EMU的完整性、可用性、不可抵赖性</t>
  </si>
  <si>
    <t>损害功能：当前Logger的日志机制未监控PLC、PID-ISO、IO板的安全事件，当PLC、PID-ISO、IO板出现异常时难以通过日志溯源。
用户影响：影响PLC、PID-ISO、IO板数据的完整性、真实性、可用性和不可抵赖性</t>
  </si>
  <si>
    <r>
      <rPr>
        <sz val="11"/>
        <color rgb="FF000000"/>
        <rFont val="宋体"/>
        <family val="3"/>
        <charset val="134"/>
      </rPr>
      <t>损害功能：PLC、PID-ISO、IO板的JTAG调试口默认打开，可能导致攻击者在设备断电时通过调试口窃取或篡改设备信息，影响设备功能的正常运行
用户影响：影响EMU的完整性、可用性、</t>
    </r>
    <r>
      <rPr>
        <b/>
        <sz val="11"/>
        <color rgb="FFFF0000"/>
        <rFont val="等线"/>
        <family val="3"/>
        <charset val="134"/>
      </rPr>
      <t>不可抵赖性（不考虑监控等外部措施，JTAG接口默认开启则无法确认使用JTAG烧写软件的操作人员，因此不可抵赖性被影响）</t>
    </r>
  </si>
  <si>
    <t>1、基于角色的访问控制（RBAC）与职责分离
系统应提供基于角色的访问控制机制，对不同用户角色实施职责分离。
2、敏感操作二次鉴权
执行敏感操作（如删除数据、修改配置、恢复出厂设置、导出信息等）前，必须进行二次身份验证。
3、管理员独有权限配置
系统管理员（Administrator）角色应配置独有权限，与其他角色权限严格隔离，防止权限滥用或越权操作。
4、默认用户数量限制
系统应限制默认账户的数量，禁止创建不必要的默认账户，降低安全风险。
5、操作日志全面记录与加密导出
系统应全面记录所有操作日志，日志导出时必须进行加密处理（如 AES-256），防止日志泄露或被篡改。</t>
    <phoneticPr fontId="1" type="noConversion"/>
  </si>
  <si>
    <t>1、EMU内（包括Logger、PLC、PID、IO板、交换机、录波小板）部署固件升级安全校验</t>
    <phoneticPr fontId="1" type="noConversion"/>
  </si>
  <si>
    <t xml:space="preserve">
对所有接收的报文进行合理性校验，包括格式、长度、字段范围及协议合规性检查，自动丢弃异常或畸形报文。</t>
    <phoneticPr fontId="1" type="noConversion"/>
  </si>
  <si>
    <t xml:space="preserve">
固件升级前必须执行版本号校验和数字签名验证，严禁降级到旧版本，防止攻击者利用已知漏洞进行降级攻击。</t>
    <phoneticPr fontId="1" type="noConversion"/>
  </si>
  <si>
    <t xml:space="preserve">
本地更新功能仅允许连接制造商或授权维护人员的特定工具执行（由 Logger 实现），禁止通过通用接口或未授权工具进行固件更新。</t>
    <phoneticPr fontId="1" type="noConversion"/>
  </si>
  <si>
    <t xml:space="preserve">
对所有用户输入实施严格的类型、格式、长度和字符集白名单过滤，拒绝不符合预期的输入数据。</t>
    <phoneticPr fontId="1" type="noConversion"/>
  </si>
  <si>
    <t xml:space="preserve">
使用参数化 SQL 查询（预编译语句），严禁拼接 SQL 字符串，从根本上防止 SQL 注入攻击。</t>
    <phoneticPr fontId="1" type="noConversion"/>
  </si>
  <si>
    <t xml:space="preserve">
将用户数据输出到 HTML 页面时，应对特殊字符进行编码转义（如 &lt;、&gt;、&amp;、"、' 等），有效防御跨站脚本（XSS）攻击。</t>
    <phoneticPr fontId="1" type="noConversion"/>
  </si>
  <si>
    <t xml:space="preserve">
写入日志前应对用户输入进行 CRLF 转义或移除（如换行符\r、\n），防止日志注入攻击导致日志伪造或篡改。</t>
    <phoneticPr fontId="1" type="noConversion"/>
  </si>
  <si>
    <t xml:space="preserve">
避免使用 Runtime.exec() 拼接用户输入执行系统命令，应使用安全 API（如 ProcessBuilder）并严格限制命令参数范围。</t>
    <phoneticPr fontId="1" type="noConversion"/>
  </si>
  <si>
    <t xml:space="preserve">
对 ARP、Modbus、IEC 104、GOOSE 等协议实现输入完整性验证，自动拒绝无效或畸形报文，防止协议解析漏洞利用。</t>
    <phoneticPr fontId="1" type="noConversion"/>
  </si>
  <si>
    <t>1、对所有用户输入实施严格的类型、格式、长度和字符集白名单过滤，拒绝不符合预期的输入数据。
2、使用参数化 SQL 查询（预编译语句），严禁拼接 SQL 字符串，从根本上防止 SQL 注入攻击。
3、将用户数据输出到 HTML 页面时，应对特殊字符进行编码转义（如 &lt;、&gt;、&amp;、"、' 等），有效防御跨站脚本（XSS）攻击。
4、写入日志前应对用户输入进行 CRLF 转义或移除（如换行符\r、\n），防止日志注入攻击导致日志伪造或篡改。
5、避免使用 Runtime.exec() 拼接用户输入执行系统命令，应使用安全 API（如 ProcessBuilder）并严格限制命令参数范围。
6、发布前安全测试
产品发布前应进行模糊测试（Fuzz Testing）和渗透测试，识别并修复所有注入类漏洞，确保系统安全性。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</si>
</sst>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numFmt numFmtId="177" formatCode="[$-F800]dddd\,\ mmmm\ dd\,\ yyyy"/>
    <numFmt numFmtId="178" formatCode="0.0_ "/>
  </numFmts>
  <fonts count="55">
    <font>
      <sz val="12"/>
      <color theme="1"/>
      <name val="等线"/>
      <family val="2"/>
      <charset val="134"/>
      <scheme val="minor"/>
    </font>
    <font>
      <sz val="9"/>
      <name val="等线"/>
      <family val="2"/>
      <charset val="134"/>
      <scheme val="minor"/>
    </font>
    <font>
      <sz val="12"/>
      <color rgb="FF000000"/>
      <name val="宋体"/>
      <family val="3"/>
      <charset val="134"/>
    </font>
    <font>
      <sz val="12"/>
      <color rgb="FF000000"/>
      <name val="Times New Roman"/>
      <family val="1"/>
    </font>
    <font>
      <sz val="11"/>
      <color rgb="FF000000"/>
      <name val="等线"/>
      <family val="3"/>
      <charset val="134"/>
    </font>
    <font>
      <sz val="12"/>
      <color rgb="FF000000"/>
      <name val="標楷體"/>
      <family val="3"/>
      <charset val="134"/>
    </font>
    <font>
      <sz val="11"/>
      <color rgb="FF000000"/>
      <name val="SimSun"/>
      <family val="3"/>
      <charset val="134"/>
    </font>
    <font>
      <sz val="12"/>
      <color rgb="FF000000"/>
      <name val="SimSun"/>
      <charset val="134"/>
    </font>
    <font>
      <sz val="12"/>
      <color rgb="FF0070C0"/>
      <name val="SimSun"/>
      <charset val="134"/>
    </font>
    <font>
      <b/>
      <sz val="12"/>
      <color rgb="FFFFFFFF"/>
      <name val="Microsoft YaHei"/>
      <family val="2"/>
      <charset val="134"/>
    </font>
    <font>
      <sz val="10"/>
      <color rgb="FF000000"/>
      <name val="Microsoft YaHei"/>
      <family val="2"/>
      <charset val="134"/>
    </font>
    <font>
      <sz val="11"/>
      <color rgb="FF0070C0"/>
      <name val="等线"/>
      <family val="3"/>
      <charset val="134"/>
    </font>
    <font>
      <b/>
      <sz val="11"/>
      <color rgb="FF0070C0"/>
      <name val="等线"/>
      <family val="3"/>
      <charset val="134"/>
    </font>
    <font>
      <b/>
      <sz val="11"/>
      <color rgb="FF2F75B5"/>
      <name val="等线"/>
      <family val="3"/>
      <charset val="134"/>
    </font>
    <font>
      <b/>
      <sz val="11"/>
      <color rgb="FF00B0F0"/>
      <name val="等线"/>
      <family val="3"/>
      <charset val="134"/>
    </font>
    <font>
      <b/>
      <sz val="11"/>
      <color rgb="FF000000"/>
      <name val="宋体"/>
      <family val="3"/>
      <charset val="134"/>
    </font>
    <font>
      <sz val="11"/>
      <color rgb="FF000000"/>
      <name val="宋体"/>
      <family val="3"/>
      <charset val="134"/>
    </font>
    <font>
      <sz val="11"/>
      <color rgb="FF000000"/>
      <name val="等线 Light"/>
      <family val="3"/>
      <charset val="134"/>
    </font>
    <font>
      <b/>
      <sz val="20"/>
      <color rgb="FF000000"/>
      <name val="等线 Light"/>
      <family val="3"/>
      <charset val="134"/>
    </font>
    <font>
      <b/>
      <sz val="12"/>
      <color rgb="FF000000"/>
      <name val="宋体"/>
      <family val="3"/>
      <charset val="134"/>
    </font>
    <font>
      <u/>
      <sz val="11"/>
      <color rgb="FF000000"/>
      <name val="宋体"/>
      <family val="3"/>
      <charset val="134"/>
    </font>
    <font>
      <b/>
      <u/>
      <sz val="12"/>
      <color rgb="FF000000"/>
      <name val="宋体"/>
      <family val="3"/>
      <charset val="134"/>
    </font>
    <font>
      <b/>
      <u/>
      <sz val="12"/>
      <color rgb="FF000000"/>
      <name val="等线 Light"/>
      <family val="3"/>
      <charset val="134"/>
    </font>
    <font>
      <sz val="10"/>
      <color rgb="FF000000"/>
      <name val="宋体"/>
      <family val="3"/>
      <charset val="134"/>
    </font>
    <font>
      <sz val="10"/>
      <color rgb="FF000000"/>
      <name val="等线 Light"/>
      <family val="3"/>
      <charset val="134"/>
    </font>
    <font>
      <sz val="12"/>
      <color rgb="FF000000"/>
      <name val="等线 Light"/>
      <family val="3"/>
      <charset val="134"/>
    </font>
    <font>
      <b/>
      <sz val="22"/>
      <color rgb="FF000000"/>
      <name val="宋体"/>
      <family val="3"/>
      <charset val="134"/>
    </font>
    <font>
      <b/>
      <sz val="14"/>
      <color rgb="FF000000"/>
      <name val="宋体"/>
      <family val="3"/>
      <charset val="134"/>
    </font>
    <font>
      <sz val="10"/>
      <color rgb="FFFF0000"/>
      <name val="Microsoft YaHei"/>
      <family val="2"/>
      <charset val="134"/>
    </font>
    <font>
      <b/>
      <sz val="12"/>
      <color rgb="FF000000"/>
      <name val="Microsoft YaHei"/>
      <family val="2"/>
      <charset val="134"/>
    </font>
    <font>
      <b/>
      <sz val="12"/>
      <color rgb="FF000000"/>
      <name val="等线"/>
      <family val="3"/>
      <charset val="134"/>
    </font>
    <font>
      <sz val="10"/>
      <name val="等线"/>
      <family val="3"/>
      <charset val="134"/>
    </font>
    <font>
      <sz val="11"/>
      <color rgb="FF000000"/>
      <name val="Microsoft YaHei"/>
      <family val="2"/>
      <charset val="134"/>
    </font>
    <font>
      <b/>
      <sz val="16"/>
      <color rgb="FF000000"/>
      <name val="Microsoft YaHei"/>
      <family val="2"/>
      <charset val="134"/>
    </font>
    <font>
      <sz val="11"/>
      <color rgb="FF0070C0"/>
      <name val="Microsoft YaHei"/>
      <family val="2"/>
      <charset val="134"/>
    </font>
    <font>
      <b/>
      <sz val="11"/>
      <color rgb="FF000000"/>
      <name val="Microsoft YaHei"/>
      <family val="2"/>
      <charset val="134"/>
    </font>
    <font>
      <sz val="12"/>
      <color rgb="FF0070C0"/>
      <name val="宋体"/>
      <family val="3"/>
      <charset val="134"/>
    </font>
    <font>
      <sz val="12"/>
      <color rgb="FF000000"/>
      <name val="等线"/>
      <family val="3"/>
      <charset val="134"/>
    </font>
    <font>
      <sz val="11"/>
      <color rgb="FFFF0000"/>
      <name val="Microsoft YaHei"/>
      <family val="2"/>
      <charset val="134"/>
    </font>
    <font>
      <sz val="11"/>
      <color rgb="FF00B0F0"/>
      <name val="Microsoft YaHei"/>
      <family val="2"/>
      <charset val="134"/>
    </font>
    <font>
      <sz val="11"/>
      <color theme="1"/>
      <name val="等线"/>
      <family val="2"/>
      <scheme val="minor"/>
    </font>
    <font>
      <sz val="9"/>
      <name val="等线"/>
      <family val="3"/>
      <charset val="134"/>
      <scheme val="minor"/>
    </font>
    <font>
      <sz val="10"/>
      <color rgb="FF000000"/>
      <name val="Arial"/>
      <family val="2"/>
    </font>
    <font>
      <sz val="10"/>
      <color theme="1"/>
      <name val="Arial"/>
      <family val="2"/>
    </font>
    <font>
      <sz val="10"/>
      <color theme="1"/>
      <name val="Univers"/>
      <family val="2"/>
    </font>
    <font>
      <sz val="10"/>
      <color rgb="FF00B0F0"/>
      <name val="Arial"/>
      <family val="2"/>
    </font>
    <font>
      <sz val="10"/>
      <color rgb="FF00B0F0"/>
      <name val="Univers"/>
      <family val="2"/>
    </font>
    <font>
      <sz val="11"/>
      <color rgb="FF00B0F0"/>
      <name val="宋体"/>
      <family val="3"/>
      <charset val="134"/>
    </font>
    <font>
      <b/>
      <sz val="12"/>
      <color rgb="FF00B0F0"/>
      <name val="Microsoft YaHei"/>
      <family val="2"/>
      <charset val="134"/>
    </font>
    <font>
      <sz val="10"/>
      <color rgb="FF00B0F0"/>
      <name val="Microsoft YaHei"/>
      <family val="2"/>
      <charset val="134"/>
    </font>
    <font>
      <sz val="11"/>
      <color rgb="FF000000"/>
      <name val="Cambria Math"/>
      <family val="3"/>
      <charset val="1"/>
    </font>
    <font>
      <sz val="11"/>
      <color rgb="FF000000"/>
      <name val="Cambria Math"/>
      <family val="1"/>
    </font>
    <font>
      <sz val="11"/>
      <color theme="1"/>
      <name val="Microsoft YaHei"/>
      <family val="2"/>
      <charset val="134"/>
    </font>
    <font>
      <b/>
      <sz val="11"/>
      <color rgb="FF00B0F0"/>
      <name val="宋体"/>
      <family val="3"/>
      <charset val="134"/>
    </font>
    <font>
      <b/>
      <sz val="11"/>
      <color rgb="FFFF0000"/>
      <name val="等线"/>
      <family val="3"/>
      <charset val="134"/>
    </font>
  </fonts>
  <fills count="13">
    <fill>
      <patternFill patternType="none"/>
    </fill>
    <fill>
      <patternFill patternType="gray125"/>
    </fill>
    <fill>
      <patternFill patternType="solid">
        <fgColor rgb="FFDDEBF7"/>
      </patternFill>
    </fill>
    <fill>
      <patternFill patternType="solid">
        <fgColor rgb="FFD8D8D8"/>
      </patternFill>
    </fill>
    <fill>
      <patternFill patternType="solid">
        <fgColor rgb="FFDEEAF6"/>
      </patternFill>
    </fill>
    <fill>
      <patternFill patternType="solid">
        <fgColor rgb="FFD9D9D9"/>
      </patternFill>
    </fill>
    <fill>
      <patternFill patternType="solid">
        <fgColor rgb="FFD6DCE4"/>
      </patternFill>
    </fill>
    <fill>
      <patternFill patternType="solid">
        <fgColor rgb="FF000000"/>
      </patternFill>
    </fill>
    <fill>
      <patternFill patternType="solid">
        <fgColor rgb="FFFFFFFF"/>
      </patternFill>
    </fill>
    <fill>
      <patternFill patternType="solid">
        <fgColor rgb="FF7F7F7F"/>
      </patternFill>
    </fill>
    <fill>
      <patternFill patternType="solid">
        <fgColor rgb="FFBFBFBF"/>
      </patternFill>
    </fill>
    <fill>
      <patternFill patternType="solid">
        <fgColor rgb="FFD7D7D7"/>
        <bgColor indexed="64"/>
      </patternFill>
    </fill>
    <fill>
      <patternFill patternType="solid">
        <fgColor rgb="FFFFFF0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right/>
      <top style="thin">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thin">
        <color rgb="FF000000"/>
      </right>
      <top/>
      <bottom style="thin">
        <color indexed="64"/>
      </bottom>
      <diagonal/>
    </border>
    <border>
      <left/>
      <right/>
      <top/>
      <bottom style="thin">
        <color indexed="64"/>
      </bottom>
      <diagonal/>
    </border>
    <border>
      <left style="thin">
        <color rgb="FF000000"/>
      </left>
      <right/>
      <top/>
      <bottom style="thin">
        <color rgb="FF000000"/>
      </bottom>
      <diagonal/>
    </border>
  </borders>
  <cellStyleXfs count="1">
    <xf numFmtId="0" fontId="0" fillId="0" borderId="0">
      <alignment vertical="center"/>
    </xf>
  </cellStyleXfs>
  <cellXfs count="209">
    <xf numFmtId="0" fontId="0" fillId="0" borderId="0" xfId="0">
      <alignment vertical="center"/>
    </xf>
    <xf numFmtId="0" fontId="2" fillId="2" borderId="1" xfId="0" applyFont="1" applyFill="1" applyBorder="1" applyAlignment="1">
      <alignment wrapText="1"/>
    </xf>
    <xf numFmtId="0" fontId="3" fillId="2" borderId="1" xfId="0" applyFont="1" applyFill="1" applyBorder="1" applyAlignment="1"/>
    <xf numFmtId="0" fontId="4" fillId="0" borderId="0" xfId="0" applyFont="1" applyAlignment="1"/>
    <xf numFmtId="0" fontId="3"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wrapText="1"/>
    </xf>
    <xf numFmtId="0" fontId="2" fillId="0" borderId="1" xfId="0" applyFont="1" applyBorder="1" applyAlignment="1">
      <alignment wrapText="1"/>
    </xf>
    <xf numFmtId="0" fontId="3" fillId="3" borderId="1" xfId="0" applyFont="1" applyFill="1" applyBorder="1" applyAlignment="1">
      <alignment horizontal="lef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0" borderId="0" xfId="0" applyFont="1" applyAlignment="1">
      <alignment wrapText="1"/>
    </xf>
    <xf numFmtId="0" fontId="3" fillId="0" borderId="0" xfId="0" applyFont="1" applyAlignment="1"/>
    <xf numFmtId="0" fontId="5" fillId="6" borderId="1" xfId="0" applyFont="1" applyFill="1" applyBorder="1" applyAlignment="1">
      <alignment wrapText="1"/>
    </xf>
    <xf numFmtId="0" fontId="5" fillId="0" borderId="1" xfId="0" applyFont="1" applyBorder="1" applyAlignment="1">
      <alignment wrapText="1"/>
    </xf>
    <xf numFmtId="0" fontId="3" fillId="0" borderId="1" xfId="0" applyFont="1" applyBorder="1" applyAlignment="1">
      <alignment wrapText="1"/>
    </xf>
    <xf numFmtId="0" fontId="6" fillId="0" borderId="0" xfId="0" applyFont="1" applyAlignment="1"/>
    <xf numFmtId="0" fontId="7" fillId="6" borderId="1" xfId="0" applyFont="1" applyFill="1" applyBorder="1" applyAlignment="1">
      <alignment wrapText="1"/>
    </xf>
    <xf numFmtId="0" fontId="8" fillId="0" borderId="1" xfId="0" applyFont="1" applyBorder="1" applyAlignment="1">
      <alignment wrapText="1"/>
    </xf>
    <xf numFmtId="0" fontId="9" fillId="7" borderId="2" xfId="0" applyFont="1" applyFill="1" applyBorder="1" applyAlignment="1">
      <alignment wrapText="1"/>
    </xf>
    <xf numFmtId="0" fontId="10" fillId="0" borderId="3" xfId="0" applyFont="1" applyBorder="1" applyAlignment="1">
      <alignment wrapText="1"/>
    </xf>
    <xf numFmtId="0" fontId="10" fillId="0" borderId="4" xfId="0" applyFont="1" applyBorder="1" applyAlignment="1">
      <alignment wrapText="1"/>
    </xf>
    <xf numFmtId="0" fontId="11" fillId="0" borderId="0" xfId="0" applyFont="1" applyAlignment="1"/>
    <xf numFmtId="0" fontId="12" fillId="0" borderId="0" xfId="0" applyFont="1" applyAlignment="1">
      <alignment horizontal="center" vertical="center" wrapText="1"/>
    </xf>
    <xf numFmtId="0" fontId="13" fillId="0" borderId="1" xfId="0" applyFont="1" applyBorder="1" applyAlignment="1">
      <alignment wrapText="1"/>
    </xf>
    <xf numFmtId="0" fontId="13" fillId="0" borderId="5" xfId="0" applyFont="1" applyBorder="1" applyAlignment="1">
      <alignment wrapText="1"/>
    </xf>
    <xf numFmtId="0" fontId="14" fillId="0" borderId="1" xfId="0" applyFont="1" applyBorder="1" applyAlignment="1">
      <alignment horizontal="center" vertical="center" wrapText="1"/>
    </xf>
    <xf numFmtId="0" fontId="15" fillId="0" borderId="1" xfId="0" applyFont="1" applyBorder="1" applyAlignment="1">
      <alignment horizontal="left" vertical="center" wrapText="1"/>
    </xf>
    <xf numFmtId="0" fontId="2" fillId="3" borderId="7" xfId="0" applyFont="1" applyFill="1" applyBorder="1" applyAlignment="1">
      <alignment wrapText="1"/>
    </xf>
    <xf numFmtId="0" fontId="16" fillId="0" borderId="6" xfId="0" applyFont="1" applyBorder="1" applyAlignment="1">
      <alignment wrapText="1"/>
    </xf>
    <xf numFmtId="0" fontId="16" fillId="0" borderId="1" xfId="0" applyFont="1" applyBorder="1" applyAlignment="1">
      <alignment wrapText="1"/>
    </xf>
    <xf numFmtId="0" fontId="16" fillId="0" borderId="8" xfId="0" applyFont="1" applyBorder="1" applyAlignment="1">
      <alignment wrapText="1"/>
    </xf>
    <xf numFmtId="0" fontId="16" fillId="0" borderId="7" xfId="0" applyFont="1" applyBorder="1" applyAlignment="1">
      <alignment wrapText="1"/>
    </xf>
    <xf numFmtId="0" fontId="16" fillId="8" borderId="1" xfId="0" applyFont="1" applyFill="1" applyBorder="1" applyAlignment="1">
      <alignment wrapText="1"/>
    </xf>
    <xf numFmtId="0" fontId="16" fillId="0" borderId="9" xfId="0" applyFont="1" applyBorder="1" applyAlignment="1">
      <alignment wrapText="1"/>
    </xf>
    <xf numFmtId="0" fontId="16" fillId="0" borderId="0" xfId="0" applyFont="1" applyAlignment="1">
      <alignment wrapText="1"/>
    </xf>
    <xf numFmtId="0" fontId="16" fillId="0" borderId="5" xfId="0" applyFont="1" applyBorder="1" applyAlignment="1">
      <alignment wrapText="1"/>
    </xf>
    <xf numFmtId="0" fontId="16" fillId="8" borderId="5" xfId="0" applyFont="1" applyFill="1" applyBorder="1" applyAlignment="1">
      <alignment wrapText="1"/>
    </xf>
    <xf numFmtId="0" fontId="16" fillId="0" borderId="1" xfId="0" applyFont="1" applyBorder="1" applyAlignment="1">
      <alignment horizontal="center" vertical="center" wrapText="1"/>
    </xf>
    <xf numFmtId="0" fontId="17" fillId="0" borderId="0" xfId="0" applyFont="1" applyAlignment="1"/>
    <xf numFmtId="0" fontId="18" fillId="0" borderId="0" xfId="0" applyFont="1" applyAlignment="1">
      <alignment horizontal="center" vertical="center"/>
    </xf>
    <xf numFmtId="14" fontId="18" fillId="0" borderId="0" xfId="0" applyNumberFormat="1" applyFont="1" applyAlignment="1">
      <alignment horizontal="center" vertical="center"/>
    </xf>
    <xf numFmtId="0" fontId="19" fillId="0" borderId="0" xfId="0" applyFont="1" applyAlignment="1">
      <alignment horizontal="center"/>
    </xf>
    <xf numFmtId="14" fontId="16" fillId="0" borderId="0" xfId="0" applyNumberFormat="1" applyFont="1" applyAlignment="1">
      <alignment horizontal="center"/>
    </xf>
    <xf numFmtId="49" fontId="16" fillId="0" borderId="0" xfId="0" applyNumberFormat="1" applyFont="1" applyAlignment="1">
      <alignment horizontal="center"/>
    </xf>
    <xf numFmtId="0" fontId="16" fillId="0" borderId="0" xfId="0" applyFont="1" applyAlignment="1"/>
    <xf numFmtId="0" fontId="19" fillId="0" borderId="0" xfId="0" applyFont="1" applyAlignment="1">
      <alignment horizontal="right"/>
    </xf>
    <xf numFmtId="0" fontId="16" fillId="0" borderId="0" xfId="0" applyFont="1" applyAlignment="1">
      <alignment horizontal="center"/>
    </xf>
    <xf numFmtId="0" fontId="19" fillId="0" borderId="0" xfId="0" applyFont="1" applyAlignment="1">
      <alignment horizontal="left"/>
    </xf>
    <xf numFmtId="176" fontId="20" fillId="0" borderId="0" xfId="0" applyNumberFormat="1" applyFont="1" applyAlignment="1"/>
    <xf numFmtId="0" fontId="16" fillId="0" borderId="0" xfId="0" applyFont="1" applyAlignment="1">
      <alignment horizontal="center" vertical="center"/>
    </xf>
    <xf numFmtId="14" fontId="16" fillId="0" borderId="0" xfId="0" applyNumberFormat="1" applyFont="1" applyAlignment="1">
      <alignment horizontal="center" vertical="center"/>
    </xf>
    <xf numFmtId="0" fontId="16" fillId="0" borderId="1" xfId="0" applyFont="1" applyBorder="1" applyAlignment="1">
      <alignment horizontal="center" vertical="center"/>
    </xf>
    <xf numFmtId="14" fontId="16" fillId="0" borderId="1" xfId="0" applyNumberFormat="1" applyFont="1" applyBorder="1" applyAlignment="1">
      <alignment horizontal="center" vertical="center"/>
    </xf>
    <xf numFmtId="0" fontId="17" fillId="0" borderId="0" xfId="0" applyFont="1" applyAlignment="1">
      <alignment horizontal="center" vertical="center"/>
    </xf>
    <xf numFmtId="14" fontId="17" fillId="0" borderId="0" xfId="0" applyNumberFormat="1" applyFont="1" applyAlignment="1">
      <alignment horizontal="center" vertical="center"/>
    </xf>
    <xf numFmtId="0" fontId="17" fillId="0" borderId="0" xfId="0" applyFont="1" applyAlignment="1">
      <alignment horizontal="left" vertical="center"/>
    </xf>
    <xf numFmtId="0" fontId="16" fillId="0" borderId="0" xfId="0" applyFont="1" applyAlignment="1">
      <alignment horizontal="left"/>
    </xf>
    <xf numFmtId="14" fontId="16" fillId="0" borderId="0" xfId="0" applyNumberFormat="1" applyFont="1" applyAlignment="1">
      <alignment horizontal="left"/>
    </xf>
    <xf numFmtId="0" fontId="16" fillId="0" borderId="0" xfId="0" applyFont="1" applyAlignment="1">
      <alignment horizontal="left" vertical="center"/>
    </xf>
    <xf numFmtId="0" fontId="21" fillId="0" borderId="0" xfId="0" applyFont="1" applyAlignment="1"/>
    <xf numFmtId="0" fontId="22" fillId="0" borderId="0" xfId="0" applyFont="1" applyAlignment="1"/>
    <xf numFmtId="14" fontId="23" fillId="0" borderId="0" xfId="0" applyNumberFormat="1" applyFont="1" applyAlignment="1"/>
    <xf numFmtId="0" fontId="2" fillId="0" borderId="0" xfId="0" applyFont="1" applyAlignment="1">
      <alignment horizontal="center"/>
    </xf>
    <xf numFmtId="0" fontId="23" fillId="0" borderId="0" xfId="0" applyFont="1" applyAlignment="1"/>
    <xf numFmtId="0" fontId="24" fillId="0" borderId="0" xfId="0" applyFont="1" applyAlignment="1"/>
    <xf numFmtId="0" fontId="2" fillId="0" borderId="0" xfId="0" applyFont="1" applyAlignment="1"/>
    <xf numFmtId="0" fontId="2" fillId="0" borderId="0" xfId="0" applyFont="1" applyAlignment="1">
      <alignment wrapText="1"/>
    </xf>
    <xf numFmtId="0" fontId="25" fillId="0" borderId="0" xfId="0" applyFont="1" applyAlignment="1">
      <alignment wrapText="1"/>
    </xf>
    <xf numFmtId="14" fontId="2" fillId="0" borderId="0" xfId="0" applyNumberFormat="1" applyFont="1" applyAlignment="1">
      <alignment wrapText="1"/>
    </xf>
    <xf numFmtId="0" fontId="2" fillId="0" borderId="0" xfId="0" applyFont="1" applyAlignment="1">
      <alignment horizontal="center" wrapText="1"/>
    </xf>
    <xf numFmtId="14" fontId="4" fillId="0" borderId="0" xfId="0" applyNumberFormat="1" applyFont="1" applyAlignment="1"/>
    <xf numFmtId="177" fontId="16" fillId="0" borderId="1" xfId="0" applyNumberFormat="1" applyFont="1" applyBorder="1" applyAlignment="1">
      <alignment horizontal="left" vertical="center"/>
    </xf>
    <xf numFmtId="178" fontId="16" fillId="0" borderId="1" xfId="0" applyNumberFormat="1" applyFont="1" applyBorder="1" applyAlignment="1">
      <alignment horizontal="left" vertical="center" wrapText="1"/>
    </xf>
    <xf numFmtId="0" fontId="15" fillId="0" borderId="1" xfId="0" applyFont="1" applyBorder="1" applyAlignment="1">
      <alignment horizontal="left" vertical="center"/>
    </xf>
    <xf numFmtId="14" fontId="15" fillId="0" borderId="1" xfId="0" applyNumberFormat="1" applyFont="1" applyBorder="1" applyAlignment="1">
      <alignment horizontal="left" vertical="center"/>
    </xf>
    <xf numFmtId="0" fontId="16" fillId="0" borderId="1" xfId="0" applyFont="1" applyBorder="1" applyAlignment="1">
      <alignment horizontal="left" vertical="center"/>
    </xf>
    <xf numFmtId="0" fontId="30" fillId="3" borderId="1" xfId="0" applyFont="1" applyFill="1" applyBorder="1" applyAlignment="1">
      <alignment horizontal="center" vertical="center" wrapText="1"/>
    </xf>
    <xf numFmtId="0" fontId="3" fillId="5" borderId="1" xfId="0" applyFont="1" applyFill="1" applyBorder="1" applyAlignment="1">
      <alignment wrapText="1"/>
    </xf>
    <xf numFmtId="0" fontId="16" fillId="0" borderId="14" xfId="0" applyFont="1" applyBorder="1" applyAlignment="1">
      <alignment horizontal="left" vertical="center" wrapText="1"/>
    </xf>
    <xf numFmtId="0" fontId="16" fillId="0" borderId="5" xfId="0" applyFont="1" applyBorder="1" applyAlignment="1">
      <alignment horizontal="left" vertical="center" wrapText="1"/>
    </xf>
    <xf numFmtId="0" fontId="16" fillId="0" borderId="10" xfId="0" applyFont="1" applyBorder="1" applyAlignment="1">
      <alignment horizontal="left" vertical="center" wrapText="1"/>
    </xf>
    <xf numFmtId="0" fontId="15" fillId="0" borderId="12" xfId="0" applyFont="1" applyBorder="1" applyAlignment="1">
      <alignment horizontal="left" vertical="center" wrapText="1"/>
    </xf>
    <xf numFmtId="0" fontId="32" fillId="0" borderId="0" xfId="0" applyFont="1" applyAlignment="1"/>
    <xf numFmtId="0" fontId="32" fillId="3" borderId="1" xfId="0" applyFont="1" applyFill="1" applyBorder="1" applyAlignment="1">
      <alignment vertical="top"/>
    </xf>
    <xf numFmtId="0" fontId="32" fillId="0" borderId="1" xfId="0" applyFont="1" applyBorder="1" applyAlignment="1"/>
    <xf numFmtId="0" fontId="32" fillId="0" borderId="0" xfId="0" applyFont="1" applyAlignment="1">
      <alignment vertical="center" wrapText="1"/>
    </xf>
    <xf numFmtId="0" fontId="34" fillId="0" borderId="0" xfId="0" applyFont="1" applyAlignment="1"/>
    <xf numFmtId="0" fontId="32" fillId="10" borderId="1" xfId="0" applyFont="1" applyFill="1" applyBorder="1" applyAlignment="1"/>
    <xf numFmtId="0" fontId="32" fillId="10" borderId="1" xfId="0" applyFont="1" applyFill="1" applyBorder="1" applyAlignment="1">
      <alignment wrapText="1"/>
    </xf>
    <xf numFmtId="0" fontId="32" fillId="8" borderId="1" xfId="0" applyFont="1" applyFill="1" applyBorder="1" applyAlignment="1">
      <alignment horizontal="left" vertical="top" wrapText="1"/>
    </xf>
    <xf numFmtId="0" fontId="32" fillId="3" borderId="6" xfId="0" applyFont="1" applyFill="1" applyBorder="1" applyAlignment="1">
      <alignment wrapText="1"/>
    </xf>
    <xf numFmtId="0" fontId="32" fillId="3" borderId="7" xfId="0" applyFont="1" applyFill="1" applyBorder="1" applyAlignment="1">
      <alignment wrapText="1"/>
    </xf>
    <xf numFmtId="0" fontId="32" fillId="0" borderId="19" xfId="0" applyFont="1" applyBorder="1" applyAlignment="1">
      <alignment vertical="top"/>
    </xf>
    <xf numFmtId="0" fontId="32" fillId="0" borderId="6" xfId="0" applyFont="1" applyBorder="1" applyAlignment="1">
      <alignment wrapText="1"/>
    </xf>
    <xf numFmtId="0" fontId="32" fillId="0" borderId="1" xfId="0" applyFont="1" applyBorder="1" applyAlignment="1">
      <alignment wrapText="1"/>
    </xf>
    <xf numFmtId="0" fontId="32" fillId="0" borderId="0" xfId="0" applyFont="1" applyAlignment="1">
      <alignment vertical="top"/>
    </xf>
    <xf numFmtId="0" fontId="32" fillId="0" borderId="7" xfId="0" applyFont="1" applyBorder="1" applyAlignment="1">
      <alignment wrapText="1"/>
    </xf>
    <xf numFmtId="0" fontId="32" fillId="0" borderId="9" xfId="0" applyFont="1" applyBorder="1" applyAlignment="1">
      <alignment wrapText="1"/>
    </xf>
    <xf numFmtId="0" fontId="32" fillId="8" borderId="1" xfId="0" applyFont="1" applyFill="1" applyBorder="1" applyAlignment="1">
      <alignment wrapText="1"/>
    </xf>
    <xf numFmtId="0" fontId="34" fillId="0" borderId="1" xfId="0" applyFont="1" applyBorder="1" applyAlignment="1"/>
    <xf numFmtId="0" fontId="34" fillId="0" borderId="1" xfId="0" applyFont="1" applyBorder="1" applyAlignment="1">
      <alignment wrapText="1"/>
    </xf>
    <xf numFmtId="0" fontId="11" fillId="0" borderId="0" xfId="0" applyFont="1" applyAlignment="1">
      <alignment wrapText="1"/>
    </xf>
    <xf numFmtId="0" fontId="39" fillId="3" borderId="1" xfId="0" applyFont="1" applyFill="1" applyBorder="1" applyAlignment="1">
      <alignment vertical="top"/>
    </xf>
    <xf numFmtId="0" fontId="39" fillId="3" borderId="12" xfId="0" applyFont="1" applyFill="1" applyBorder="1" applyAlignment="1">
      <alignment vertical="top"/>
    </xf>
    <xf numFmtId="0" fontId="40" fillId="0" borderId="0" xfId="0" applyFont="1" applyAlignment="1"/>
    <xf numFmtId="0" fontId="0" fillId="0" borderId="0" xfId="0" applyAlignment="1"/>
    <xf numFmtId="0" fontId="42" fillId="11" borderId="20" xfId="0" applyFont="1" applyFill="1" applyBorder="1" applyAlignment="1">
      <alignment vertical="center" wrapText="1"/>
    </xf>
    <xf numFmtId="0" fontId="42" fillId="11" borderId="21" xfId="0" applyFont="1" applyFill="1" applyBorder="1" applyAlignment="1">
      <alignment vertical="center" wrapText="1"/>
    </xf>
    <xf numFmtId="0" fontId="43" fillId="0" borderId="23" xfId="0" applyFont="1" applyBorder="1" applyAlignment="1">
      <alignment vertical="center" wrapText="1"/>
    </xf>
    <xf numFmtId="0" fontId="43" fillId="0" borderId="0" xfId="0" applyFont="1" applyAlignment="1">
      <alignment vertical="center" wrapText="1"/>
    </xf>
    <xf numFmtId="0" fontId="44" fillId="0" borderId="23" xfId="0" applyFont="1" applyBorder="1" applyAlignment="1">
      <alignment vertical="center" wrapText="1"/>
    </xf>
    <xf numFmtId="0" fontId="45" fillId="0" borderId="22" xfId="0" applyFont="1" applyBorder="1" applyAlignment="1">
      <alignment vertical="center" wrapText="1"/>
    </xf>
    <xf numFmtId="0" fontId="45" fillId="0" borderId="23" xfId="0" applyFont="1" applyBorder="1" applyAlignment="1">
      <alignment vertical="center" wrapText="1"/>
    </xf>
    <xf numFmtId="0" fontId="46" fillId="0" borderId="22" xfId="0" applyFont="1" applyBorder="1" applyAlignment="1">
      <alignment vertical="center" wrapText="1"/>
    </xf>
    <xf numFmtId="0" fontId="46" fillId="0" borderId="23" xfId="0" applyFont="1" applyBorder="1" applyAlignment="1">
      <alignment vertical="center" wrapText="1"/>
    </xf>
    <xf numFmtId="0" fontId="47" fillId="0" borderId="1" xfId="0" applyFont="1" applyBorder="1" applyAlignment="1">
      <alignment wrapText="1"/>
    </xf>
    <xf numFmtId="0" fontId="47" fillId="0" borderId="5" xfId="0" applyFont="1" applyBorder="1" applyAlignment="1">
      <alignment wrapText="1"/>
    </xf>
    <xf numFmtId="0" fontId="49" fillId="0" borderId="3" xfId="0" applyFont="1" applyBorder="1" applyAlignment="1">
      <alignment wrapText="1"/>
    </xf>
    <xf numFmtId="0" fontId="16" fillId="0" borderId="24" xfId="0" applyFont="1" applyBorder="1" applyAlignment="1">
      <alignment wrapText="1"/>
    </xf>
    <xf numFmtId="0" fontId="16" fillId="0" borderId="18" xfId="0" applyFont="1" applyBorder="1" applyAlignment="1">
      <alignment wrapText="1"/>
    </xf>
    <xf numFmtId="0" fontId="47" fillId="0" borderId="10" xfId="0" applyFont="1" applyBorder="1" applyAlignment="1">
      <alignment wrapText="1"/>
    </xf>
    <xf numFmtId="0" fontId="16" fillId="0" borderId="12" xfId="0" applyFont="1" applyBorder="1" applyAlignment="1">
      <alignment wrapText="1"/>
    </xf>
    <xf numFmtId="0" fontId="47" fillId="0" borderId="24" xfId="0" applyFont="1" applyBorder="1" applyAlignment="1">
      <alignment wrapText="1"/>
    </xf>
    <xf numFmtId="0" fontId="16" fillId="0" borderId="1" xfId="0" applyFont="1" applyBorder="1" applyAlignment="1">
      <alignment horizontal="left" vertical="center" wrapText="1"/>
    </xf>
    <xf numFmtId="0" fontId="15" fillId="12" borderId="1" xfId="0" applyFont="1" applyFill="1" applyBorder="1" applyAlignment="1">
      <alignment horizontal="left" vertical="center" wrapText="1"/>
    </xf>
    <xf numFmtId="0" fontId="15" fillId="12" borderId="0" xfId="0" applyFont="1" applyFill="1" applyAlignment="1">
      <alignment vertical="center" wrapText="1"/>
    </xf>
    <xf numFmtId="0" fontId="4" fillId="0" borderId="0" xfId="0" applyFont="1" applyAlignment="1">
      <alignment vertical="center"/>
    </xf>
    <xf numFmtId="0" fontId="15" fillId="0" borderId="1" xfId="0" applyFont="1" applyBorder="1" applyAlignment="1">
      <alignment vertical="center" wrapText="1"/>
    </xf>
    <xf numFmtId="0" fontId="16" fillId="0" borderId="12" xfId="0" applyFont="1" applyBorder="1" applyAlignment="1">
      <alignment vertical="center" wrapText="1"/>
    </xf>
    <xf numFmtId="0" fontId="16" fillId="0" borderId="24" xfId="0" applyFont="1" applyBorder="1" applyAlignment="1">
      <alignment horizontal="left" vertical="center" wrapText="1"/>
    </xf>
    <xf numFmtId="0" fontId="4" fillId="0" borderId="0" xfId="0" applyFont="1" applyAlignment="1">
      <alignment horizontal="left" vertical="top" wrapText="1"/>
    </xf>
    <xf numFmtId="0" fontId="2" fillId="0" borderId="0" xfId="0" applyFont="1" applyAlignment="1">
      <alignment horizontal="center" vertical="center" wrapText="1"/>
    </xf>
    <xf numFmtId="0" fontId="21" fillId="0" borderId="0" xfId="0" applyFont="1" applyAlignment="1">
      <alignment horizontal="center" vertical="center"/>
    </xf>
    <xf numFmtId="0" fontId="16" fillId="0" borderId="10" xfId="0" applyFont="1" applyBorder="1" applyAlignment="1">
      <alignment horizontal="center" vertical="center"/>
    </xf>
    <xf numFmtId="0" fontId="16" fillId="0" borderId="5" xfId="0" applyFon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0" xfId="0" applyFont="1" applyAlignment="1">
      <alignment horizontal="left"/>
    </xf>
    <xf numFmtId="0" fontId="16" fillId="0" borderId="10" xfId="0" applyFont="1" applyBorder="1" applyAlignment="1">
      <alignment horizontal="left" wrapText="1"/>
    </xf>
    <xf numFmtId="0" fontId="16" fillId="0" borderId="5" xfId="0" applyFont="1" applyBorder="1" applyAlignment="1">
      <alignment horizontal="left" wrapText="1"/>
    </xf>
    <xf numFmtId="0" fontId="16" fillId="0" borderId="1" xfId="0" applyFont="1" applyBorder="1" applyAlignment="1">
      <alignment horizontal="left" vertical="center"/>
    </xf>
    <xf numFmtId="0" fontId="15" fillId="0" borderId="0" xfId="0" applyFont="1" applyAlignment="1">
      <alignment horizontal="left"/>
    </xf>
    <xf numFmtId="0" fontId="27" fillId="0" borderId="0" xfId="0" applyFont="1" applyAlignment="1">
      <alignment horizontal="center" vertical="center"/>
    </xf>
    <xf numFmtId="0" fontId="26" fillId="0" borderId="0" xfId="0" applyFont="1" applyAlignment="1">
      <alignment horizontal="center" vertical="center"/>
    </xf>
    <xf numFmtId="0" fontId="15" fillId="0" borderId="1" xfId="0" applyFont="1" applyBorder="1" applyAlignment="1">
      <alignment horizontal="left" vertical="center"/>
    </xf>
    <xf numFmtId="0" fontId="16" fillId="0" borderId="10" xfId="0" applyFont="1" applyBorder="1" applyAlignment="1">
      <alignment horizontal="left" vertical="center"/>
    </xf>
    <xf numFmtId="0" fontId="16" fillId="0" borderId="5" xfId="0" applyFont="1" applyBorder="1" applyAlignment="1">
      <alignment horizontal="left" vertical="center"/>
    </xf>
    <xf numFmtId="0" fontId="16" fillId="0" borderId="10" xfId="0" applyFont="1" applyBorder="1" applyAlignment="1">
      <alignment horizontal="left"/>
    </xf>
    <xf numFmtId="0" fontId="16" fillId="0" borderId="5" xfId="0" applyFont="1" applyBorder="1" applyAlignment="1">
      <alignment horizontal="left"/>
    </xf>
    <xf numFmtId="0" fontId="34" fillId="0" borderId="19" xfId="0" applyFont="1" applyBorder="1" applyAlignment="1">
      <alignment horizontal="left" vertical="center" wrapText="1"/>
    </xf>
    <xf numFmtId="0" fontId="34" fillId="0" borderId="0" xfId="0" applyFont="1" applyAlignment="1">
      <alignment horizontal="left" vertical="center" wrapText="1"/>
    </xf>
    <xf numFmtId="0" fontId="39" fillId="0" borderId="10" xfId="0" applyFont="1" applyBorder="1" applyAlignment="1">
      <alignment horizontal="center" wrapText="1"/>
    </xf>
    <xf numFmtId="0" fontId="39" fillId="0" borderId="5" xfId="0" applyFont="1" applyBorder="1" applyAlignment="1">
      <alignment horizontal="center" wrapText="1"/>
    </xf>
    <xf numFmtId="0" fontId="32" fillId="0" borderId="10" xfId="0" applyFont="1" applyBorder="1" applyAlignment="1">
      <alignment horizontal="center" wrapText="1"/>
    </xf>
    <xf numFmtId="0" fontId="32" fillId="0" borderId="5" xfId="0" applyFont="1" applyBorder="1" applyAlignment="1">
      <alignment horizontal="center" wrapText="1"/>
    </xf>
    <xf numFmtId="0" fontId="32" fillId="0" borderId="1" xfId="0" applyFont="1" applyBorder="1" applyAlignment="1">
      <alignment vertical="center" wrapText="1"/>
    </xf>
    <xf numFmtId="0" fontId="32" fillId="3" borderId="12" xfId="0" applyFont="1" applyFill="1" applyBorder="1" applyAlignment="1">
      <alignment vertical="top" wrapText="1"/>
    </xf>
    <xf numFmtId="0" fontId="32" fillId="0" borderId="12" xfId="0" applyFont="1" applyBorder="1" applyAlignment="1"/>
    <xf numFmtId="0" fontId="32" fillId="3" borderId="6" xfId="0" applyFont="1" applyFill="1" applyBorder="1" applyAlignment="1">
      <alignment vertical="top"/>
    </xf>
    <xf numFmtId="0" fontId="32" fillId="0" borderId="6" xfId="0" applyFont="1" applyBorder="1" applyAlignment="1"/>
    <xf numFmtId="0" fontId="32" fillId="0" borderId="19" xfId="0" applyFont="1" applyBorder="1" applyAlignment="1">
      <alignment horizontal="left" vertical="top" wrapText="1"/>
    </xf>
    <xf numFmtId="0" fontId="32" fillId="0" borderId="0" xfId="0" applyFont="1" applyAlignment="1">
      <alignment horizontal="left" vertical="top" wrapText="1"/>
    </xf>
    <xf numFmtId="0" fontId="32" fillId="0" borderId="18" xfId="0" applyFont="1" applyBorder="1" applyAlignment="1">
      <alignment horizontal="left" vertical="top" wrapText="1"/>
    </xf>
    <xf numFmtId="0" fontId="39" fillId="0" borderId="11" xfId="0" applyFont="1" applyBorder="1" applyAlignment="1">
      <alignment horizontal="center"/>
    </xf>
    <xf numFmtId="0" fontId="39" fillId="0" borderId="10" xfId="0" applyFont="1" applyBorder="1" applyAlignment="1">
      <alignment horizontal="left" wrapText="1"/>
    </xf>
    <xf numFmtId="0" fontId="39" fillId="0" borderId="11" xfId="0" applyFont="1" applyBorder="1" applyAlignment="1">
      <alignment horizontal="left" wrapText="1"/>
    </xf>
    <xf numFmtId="0" fontId="32" fillId="3" borderId="1" xfId="0" applyFont="1" applyFill="1" applyBorder="1" applyAlignment="1">
      <alignment vertical="top"/>
    </xf>
    <xf numFmtId="0" fontId="32" fillId="0" borderId="1" xfId="0" applyFont="1" applyBorder="1" applyAlignment="1"/>
    <xf numFmtId="0" fontId="32" fillId="3" borderId="12" xfId="0" applyFont="1" applyFill="1" applyBorder="1" applyAlignment="1">
      <alignment vertical="top"/>
    </xf>
    <xf numFmtId="0" fontId="33" fillId="9" borderId="18" xfId="0" applyFont="1" applyFill="1" applyBorder="1" applyAlignment="1">
      <alignment horizontal="center"/>
    </xf>
    <xf numFmtId="0" fontId="39" fillId="3" borderId="1" xfId="0" applyFont="1" applyFill="1" applyBorder="1" applyAlignment="1">
      <alignment vertical="top"/>
    </xf>
    <xf numFmtId="0" fontId="39" fillId="0" borderId="1" xfId="0" applyFont="1" applyBorder="1" applyAlignment="1"/>
    <xf numFmtId="0" fontId="39" fillId="0" borderId="11" xfId="0" applyFont="1" applyBorder="1" applyAlignment="1">
      <alignment horizontal="center" wrapText="1"/>
    </xf>
    <xf numFmtId="0" fontId="32" fillId="3" borderId="10" xfId="0" applyFont="1" applyFill="1" applyBorder="1" applyAlignment="1">
      <alignment vertical="top"/>
    </xf>
    <xf numFmtId="0" fontId="32" fillId="3" borderId="11" xfId="0" applyFont="1" applyFill="1" applyBorder="1" applyAlignment="1">
      <alignment vertical="top"/>
    </xf>
    <xf numFmtId="0" fontId="32" fillId="3" borderId="5" xfId="0" applyFont="1" applyFill="1" applyBorder="1" applyAlignment="1">
      <alignment vertical="top"/>
    </xf>
    <xf numFmtId="0" fontId="2" fillId="3" borderId="26" xfId="0" applyFont="1" applyFill="1" applyBorder="1" applyAlignment="1">
      <alignment horizontal="center" wrapText="1"/>
    </xf>
    <xf numFmtId="0" fontId="2" fillId="3" borderId="25" xfId="0" applyFont="1" applyFill="1" applyBorder="1" applyAlignment="1">
      <alignment horizontal="center" wrapText="1"/>
    </xf>
    <xf numFmtId="0" fontId="2" fillId="3" borderId="11" xfId="0" applyFont="1" applyFill="1" applyBorder="1" applyAlignment="1">
      <alignment wrapText="1"/>
    </xf>
    <xf numFmtId="0" fontId="2" fillId="3" borderId="5" xfId="0" applyFont="1" applyFill="1" applyBorder="1" applyAlignment="1">
      <alignment wrapText="1"/>
    </xf>
    <xf numFmtId="0" fontId="2" fillId="3" borderId="12" xfId="0" applyFont="1" applyFill="1" applyBorder="1" applyAlignment="1">
      <alignment wrapText="1"/>
    </xf>
    <xf numFmtId="0" fontId="2" fillId="3" borderId="6" xfId="0" applyFont="1" applyFill="1" applyBorder="1" applyAlignment="1">
      <alignment wrapText="1"/>
    </xf>
    <xf numFmtId="0" fontId="2" fillId="3" borderId="8" xfId="0" applyFont="1" applyFill="1" applyBorder="1" applyAlignment="1">
      <alignment wrapText="1"/>
    </xf>
    <xf numFmtId="0" fontId="2" fillId="3" borderId="13" xfId="0" applyFont="1" applyFill="1" applyBorder="1" applyAlignment="1">
      <alignment wrapText="1"/>
    </xf>
    <xf numFmtId="0" fontId="2" fillId="3" borderId="27" xfId="0" applyFont="1" applyFill="1" applyBorder="1" applyAlignment="1">
      <alignment wrapText="1"/>
    </xf>
    <xf numFmtId="0" fontId="16" fillId="0" borderId="24" xfId="0" applyFont="1" applyBorder="1" applyAlignment="1">
      <alignment horizontal="left" vertical="center" wrapText="1"/>
    </xf>
    <xf numFmtId="0" fontId="31" fillId="0" borderId="24" xfId="0" applyFont="1" applyBorder="1">
      <alignment vertical="center"/>
    </xf>
    <xf numFmtId="0" fontId="16" fillId="0" borderId="12" xfId="0" applyFont="1" applyBorder="1" applyAlignment="1">
      <alignment vertical="center" wrapText="1"/>
    </xf>
    <xf numFmtId="0" fontId="16" fillId="0" borderId="8" xfId="0" applyFont="1" applyBorder="1" applyAlignment="1">
      <alignment vertical="center" wrapText="1"/>
    </xf>
    <xf numFmtId="0" fontId="16" fillId="0" borderId="6" xfId="0" applyFont="1" applyBorder="1" applyAlignment="1">
      <alignment vertical="center" wrapText="1"/>
    </xf>
    <xf numFmtId="0" fontId="16" fillId="0" borderId="24" xfId="0" applyFont="1" applyBorder="1" applyAlignment="1">
      <alignment vertical="center" wrapText="1"/>
    </xf>
    <xf numFmtId="0" fontId="31" fillId="0" borderId="24" xfId="0" applyFont="1" applyBorder="1" applyAlignment="1">
      <alignment vertical="center"/>
    </xf>
    <xf numFmtId="0" fontId="30" fillId="3" borderId="1" xfId="0" applyFont="1" applyFill="1" applyBorder="1" applyAlignment="1">
      <alignment horizontal="center" vertical="center" wrapText="1"/>
    </xf>
    <xf numFmtId="0" fontId="5" fillId="5" borderId="13" xfId="0" applyFont="1" applyFill="1" applyBorder="1" applyAlignment="1">
      <alignment wrapText="1"/>
    </xf>
    <xf numFmtId="0" fontId="5" fillId="5" borderId="14" xfId="0" applyFont="1" applyFill="1" applyBorder="1" applyAlignment="1">
      <alignment wrapText="1"/>
    </xf>
    <xf numFmtId="0" fontId="10" fillId="0" borderId="3" xfId="0" applyFont="1" applyBorder="1" applyAlignment="1">
      <alignment wrapText="1"/>
    </xf>
    <xf numFmtId="0" fontId="10" fillId="0" borderId="4" xfId="0" applyFont="1" applyBorder="1" applyAlignment="1">
      <alignment wrapText="1"/>
    </xf>
    <xf numFmtId="0" fontId="29" fillId="0" borderId="15" xfId="0" applyFont="1" applyBorder="1" applyAlignment="1">
      <alignment wrapText="1"/>
    </xf>
    <xf numFmtId="0" fontId="29" fillId="0" borderId="16" xfId="0" applyFont="1" applyBorder="1" applyAlignment="1">
      <alignment wrapText="1"/>
    </xf>
    <xf numFmtId="0" fontId="29" fillId="0" borderId="17" xfId="0" applyFont="1" applyBorder="1" applyAlignment="1">
      <alignment wrapText="1"/>
    </xf>
    <xf numFmtId="0" fontId="28" fillId="0" borderId="3" xfId="0" applyFont="1" applyBorder="1" applyAlignment="1">
      <alignment wrapText="1"/>
    </xf>
    <xf numFmtId="0" fontId="28" fillId="0" borderId="4" xfId="0" applyFont="1" applyBorder="1" applyAlignment="1">
      <alignment wrapText="1"/>
    </xf>
    <xf numFmtId="0" fontId="2" fillId="0" borderId="10" xfId="0" applyFont="1" applyBorder="1" applyAlignment="1">
      <alignment wrapText="1"/>
    </xf>
    <xf numFmtId="0" fontId="2" fillId="0" borderId="5" xfId="0" applyFont="1" applyBorder="1" applyAlignment="1">
      <alignment wrapText="1"/>
    </xf>
    <xf numFmtId="0" fontId="7" fillId="5" borderId="13" xfId="0" applyFont="1" applyFill="1" applyBorder="1" applyAlignment="1">
      <alignment wrapText="1"/>
    </xf>
    <xf numFmtId="0" fontId="7" fillId="5" borderId="14" xfId="0" applyFont="1" applyFill="1" applyBorder="1" applyAlignment="1">
      <alignment wrapText="1"/>
    </xf>
    <xf numFmtId="0" fontId="3" fillId="5" borderId="13" xfId="0" applyFont="1" applyFill="1" applyBorder="1" applyAlignment="1">
      <alignment wrapText="1"/>
    </xf>
    <xf numFmtId="0" fontId="3" fillId="5" borderId="14" xfId="0" applyFont="1" applyFill="1" applyBorder="1" applyAlignment="1">
      <alignment wrapText="1"/>
    </xf>
  </cellXfs>
  <cellStyles count="1">
    <cellStyle name="常规" xfId="0" builtinId="0"/>
  </cellStyles>
  <dxfs count="1">
    <dxf>
      <fill>
        <patternFill>
          <bgColor rgb="FFFBD4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22860</xdr:rowOff>
    </xdr:from>
    <xdr:ext cx="1728153" cy="320241"/>
    <xdr:pic>
      <xdr:nvPicPr>
        <xdr:cNvPr id="2" name="图片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22860"/>
          <a:ext cx="1728153" cy="32024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985837</xdr:colOff>
      <xdr:row>29</xdr:row>
      <xdr:rowOff>666750</xdr:rowOff>
    </xdr:from>
    <xdr:ext cx="2688494" cy="2262188"/>
    <xdr:pic>
      <xdr:nvPicPr>
        <xdr:cNvPr id="2" name="图片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3629025" y="7743825"/>
          <a:ext cx="2688494" cy="2262188"/>
        </a:xfrm>
        <a:prstGeom prst="rect">
          <a:avLst/>
        </a:prstGeom>
      </xdr:spPr>
    </xdr:pic>
    <xdr:clientData/>
  </xdr:oneCellAnchor>
  <xdr:oneCellAnchor>
    <xdr:from>
      <xdr:col>0</xdr:col>
      <xdr:colOff>0</xdr:colOff>
      <xdr:row>29</xdr:row>
      <xdr:rowOff>757603</xdr:rowOff>
    </xdr:from>
    <xdr:ext cx="3979129" cy="2066560"/>
    <xdr:pic>
      <xdr:nvPicPr>
        <xdr:cNvPr id="3" name="图片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0" y="7834678"/>
          <a:ext cx="3979129" cy="2066560"/>
        </a:xfrm>
        <a:prstGeom prst="rect">
          <a:avLst/>
        </a:prstGeom>
      </xdr:spPr>
    </xdr:pic>
    <xdr:clientData/>
  </xdr:oneCellAnchor>
  <xdr:oneCellAnchor>
    <xdr:from>
      <xdr:col>2</xdr:col>
      <xdr:colOff>1981202</xdr:colOff>
      <xdr:row>29</xdr:row>
      <xdr:rowOff>604838</xdr:rowOff>
    </xdr:from>
    <xdr:ext cx="3681412" cy="2328206"/>
    <xdr:pic>
      <xdr:nvPicPr>
        <xdr:cNvPr id="4" name="图片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a:fillRect/>
        </a:stretch>
      </xdr:blipFill>
      <xdr:spPr>
        <a:xfrm>
          <a:off x="6248402" y="7681913"/>
          <a:ext cx="3681412" cy="232820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6183-FBB5-4D98-B31B-F5EF6059698E}">
  <sheetPr>
    <outlinePr summaryBelow="0" summaryRight="0"/>
  </sheetPr>
  <dimension ref="A1:AM199"/>
  <sheetViews>
    <sheetView workbookViewId="0">
      <selection activeCell="F11" sqref="F11:G11"/>
    </sheetView>
  </sheetViews>
  <sheetFormatPr defaultColWidth="19.46875" defaultRowHeight="13.9" customHeight="1"/>
  <cols>
    <col min="1" max="1" width="16.8203125" style="3" customWidth="1"/>
    <col min="2" max="2" width="18.8203125" style="71" customWidth="1"/>
    <col min="4" max="4" width="20.8203125" style="3" customWidth="1"/>
    <col min="6" max="6" width="24.17578125" style="3" customWidth="1"/>
    <col min="7" max="7" width="29.3515625" style="3" customWidth="1"/>
  </cols>
  <sheetData>
    <row r="1" spans="1:39" ht="13.9" customHeight="1">
      <c r="A1" s="144" t="s">
        <v>0</v>
      </c>
      <c r="B1" s="144"/>
      <c r="C1" s="144"/>
      <c r="D1" s="144"/>
      <c r="E1" s="144"/>
      <c r="F1" s="144"/>
      <c r="G1" s="144"/>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row>
    <row r="2" spans="1:39" ht="13.9" customHeight="1">
      <c r="A2" s="144"/>
      <c r="B2" s="144"/>
      <c r="C2" s="144"/>
      <c r="D2" s="144"/>
      <c r="E2" s="144"/>
      <c r="F2" s="144"/>
      <c r="G2" s="144"/>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row>
    <row r="3" spans="1:39" ht="13.9" customHeight="1">
      <c r="A3" s="40"/>
      <c r="B3" s="41"/>
      <c r="C3" s="40"/>
      <c r="D3" s="40"/>
      <c r="E3" s="40"/>
      <c r="F3" s="40"/>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row>
    <row r="4" spans="1:39" ht="13.9" customHeight="1">
      <c r="A4" s="42" t="s">
        <v>1</v>
      </c>
      <c r="B4" s="43"/>
      <c r="C4" s="42" t="s">
        <v>2</v>
      </c>
      <c r="D4" s="44"/>
      <c r="E4" s="42" t="s">
        <v>3</v>
      </c>
      <c r="F4" s="44"/>
      <c r="G4" s="45"/>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row>
    <row r="5" spans="1:39" ht="13.9" customHeight="1">
      <c r="A5" s="42" t="s">
        <v>4</v>
      </c>
      <c r="B5" s="43"/>
      <c r="C5" s="42" t="s">
        <v>5</v>
      </c>
      <c r="D5" s="44"/>
      <c r="E5" s="42" t="s">
        <v>6</v>
      </c>
      <c r="F5" s="46"/>
      <c r="G5" s="45"/>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row>
    <row r="6" spans="1:39" ht="13.9" customHeight="1">
      <c r="A6" s="42"/>
      <c r="B6" s="43"/>
      <c r="C6" s="42"/>
      <c r="D6" s="47"/>
      <c r="E6" s="48"/>
      <c r="F6" s="49"/>
      <c r="G6" s="45"/>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row>
    <row r="7" spans="1:39" ht="13.9" customHeight="1">
      <c r="A7" s="50"/>
      <c r="B7" s="51"/>
      <c r="C7" s="143" t="s">
        <v>7</v>
      </c>
      <c r="D7" s="143"/>
      <c r="E7" s="50"/>
      <c r="F7" s="50"/>
      <c r="G7" s="45"/>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row>
    <row r="8" spans="1:39" ht="23.55" customHeight="1">
      <c r="A8" s="74" t="s">
        <v>8</v>
      </c>
      <c r="B8" s="75" t="s">
        <v>9</v>
      </c>
      <c r="C8" s="145" t="s">
        <v>10</v>
      </c>
      <c r="D8" s="145"/>
      <c r="E8" s="74" t="s">
        <v>11</v>
      </c>
      <c r="F8" s="148" t="s">
        <v>12</v>
      </c>
      <c r="G8" s="14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row>
    <row r="9" spans="1:39" ht="90.7" customHeight="1">
      <c r="A9" s="76" t="s">
        <v>13</v>
      </c>
      <c r="B9" s="72">
        <v>46177</v>
      </c>
      <c r="C9" s="141" t="s">
        <v>14</v>
      </c>
      <c r="D9" s="141"/>
      <c r="E9" s="73" t="s">
        <v>15</v>
      </c>
      <c r="F9" s="139" t="s">
        <v>16</v>
      </c>
      <c r="G9" s="140"/>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row>
    <row r="10" spans="1:39" ht="23.55" customHeight="1">
      <c r="A10" s="76" t="s">
        <v>17</v>
      </c>
      <c r="B10" s="72">
        <v>46184</v>
      </c>
      <c r="C10" s="141" t="s">
        <v>18</v>
      </c>
      <c r="D10" s="141"/>
      <c r="E10" s="73" t="s">
        <v>19</v>
      </c>
      <c r="F10" s="146"/>
      <c r="G10" s="147"/>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row>
    <row r="11" spans="1:39" ht="23.55" customHeight="1">
      <c r="A11" s="52"/>
      <c r="B11" s="53"/>
      <c r="C11" s="136"/>
      <c r="D11" s="136"/>
      <c r="E11" s="38"/>
      <c r="F11" s="134"/>
      <c r="G11" s="135"/>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row>
    <row r="12" spans="1:39" ht="23.55" customHeight="1">
      <c r="A12" s="52"/>
      <c r="B12" s="53"/>
      <c r="C12" s="136"/>
      <c r="D12" s="136"/>
      <c r="E12" s="38"/>
      <c r="F12" s="134"/>
      <c r="G12" s="135"/>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row>
    <row r="13" spans="1:39" ht="23.55" customHeight="1">
      <c r="A13" s="52"/>
      <c r="B13" s="53"/>
      <c r="C13" s="136"/>
      <c r="D13" s="136"/>
      <c r="E13" s="38"/>
      <c r="F13" s="134"/>
      <c r="G13" s="135"/>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row>
    <row r="14" spans="1:39" ht="23.55" customHeight="1">
      <c r="A14" s="52"/>
      <c r="B14" s="53"/>
      <c r="C14" s="137"/>
      <c r="D14" s="137"/>
      <c r="E14" s="38"/>
      <c r="F14" s="134"/>
      <c r="G14" s="135"/>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row>
    <row r="15" spans="1:39" ht="23.55" customHeight="1">
      <c r="A15" s="52"/>
      <c r="B15" s="53"/>
      <c r="C15" s="136"/>
      <c r="D15" s="136"/>
      <c r="E15" s="38"/>
      <c r="F15" s="134"/>
      <c r="G15" s="135"/>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row>
    <row r="16" spans="1:39" ht="23.55" customHeight="1">
      <c r="A16" s="52"/>
      <c r="B16" s="53"/>
      <c r="C16" s="136"/>
      <c r="D16" s="136"/>
      <c r="E16" s="38"/>
      <c r="F16" s="134"/>
      <c r="G16" s="135"/>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row>
    <row r="17" spans="1:39" ht="23.55" customHeight="1">
      <c r="A17" s="52"/>
      <c r="B17" s="53"/>
      <c r="C17" s="136"/>
      <c r="D17" s="136"/>
      <c r="E17" s="38"/>
      <c r="F17" s="134"/>
      <c r="G17" s="135"/>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row>
    <row r="18" spans="1:39" ht="23.55" customHeight="1">
      <c r="A18" s="52"/>
      <c r="B18" s="53"/>
      <c r="C18" s="136"/>
      <c r="D18" s="136"/>
      <c r="E18" s="38"/>
      <c r="F18" s="134"/>
      <c r="G18" s="135"/>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row>
    <row r="19" spans="1:39" ht="23.55" customHeight="1">
      <c r="A19" s="52"/>
      <c r="B19" s="53"/>
      <c r="C19" s="136"/>
      <c r="D19" s="136"/>
      <c r="E19" s="38"/>
      <c r="F19" s="134"/>
      <c r="G19" s="135"/>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row>
    <row r="20" spans="1:39" ht="23.55" customHeight="1">
      <c r="A20" s="52"/>
      <c r="B20" s="53"/>
      <c r="C20" s="136"/>
      <c r="D20" s="136"/>
      <c r="E20" s="38"/>
      <c r="F20" s="134"/>
      <c r="G20" s="135"/>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row>
    <row r="21" spans="1:39" ht="23.55" customHeight="1">
      <c r="A21" s="52"/>
      <c r="B21" s="53"/>
      <c r="C21" s="136"/>
      <c r="D21" s="136"/>
      <c r="E21" s="38"/>
      <c r="F21" s="134"/>
      <c r="G21" s="135"/>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row>
    <row r="22" spans="1:39" ht="23.55" customHeight="1">
      <c r="A22" s="52"/>
      <c r="B22" s="53"/>
      <c r="C22" s="136"/>
      <c r="D22" s="136"/>
      <c r="E22" s="38"/>
      <c r="F22" s="134"/>
      <c r="G22" s="135"/>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row>
    <row r="23" spans="1:39" ht="23.55" customHeight="1">
      <c r="A23" s="52"/>
      <c r="B23" s="53"/>
      <c r="C23" s="136"/>
      <c r="D23" s="136"/>
      <c r="E23" s="38"/>
      <c r="F23" s="134"/>
      <c r="G23" s="135"/>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row>
    <row r="24" spans="1:39" ht="23.55" customHeight="1">
      <c r="A24" s="52"/>
      <c r="B24" s="53"/>
      <c r="C24" s="136"/>
      <c r="D24" s="136"/>
      <c r="E24" s="38"/>
      <c r="F24" s="134"/>
      <c r="G24" s="135"/>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row>
    <row r="25" spans="1:39" ht="23.55" customHeight="1">
      <c r="A25" s="52"/>
      <c r="B25" s="53"/>
      <c r="C25" s="136"/>
      <c r="D25" s="136"/>
      <c r="E25" s="38"/>
      <c r="F25" s="134"/>
      <c r="G25" s="135"/>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row>
    <row r="26" spans="1:39" ht="13.9" customHeight="1">
      <c r="A26" s="142" t="s">
        <v>20</v>
      </c>
      <c r="B26" s="142"/>
      <c r="C26" s="47"/>
      <c r="D26" s="45"/>
      <c r="E26" s="45"/>
      <c r="F26" s="45"/>
      <c r="G26" s="45"/>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row>
    <row r="27" spans="1:39" ht="13.9" customHeight="1">
      <c r="A27" s="138" t="s">
        <v>21</v>
      </c>
      <c r="B27" s="138"/>
      <c r="C27" s="138"/>
      <c r="D27" s="45"/>
      <c r="E27" s="45"/>
      <c r="F27" s="45"/>
      <c r="G27" s="45"/>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row>
    <row r="28" spans="1:39" ht="13.9" customHeight="1">
      <c r="A28" s="138" t="s">
        <v>22</v>
      </c>
      <c r="B28" s="138"/>
      <c r="C28" s="138"/>
      <c r="D28" s="138"/>
      <c r="E28" s="138"/>
      <c r="F28" s="45"/>
      <c r="G28" s="45"/>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row>
    <row r="29" spans="1:39" ht="13.9" customHeight="1">
      <c r="A29" s="138"/>
      <c r="B29" s="138"/>
      <c r="C29" s="138"/>
      <c r="D29" s="138"/>
      <c r="E29" s="138"/>
      <c r="F29" s="45"/>
      <c r="G29" s="45"/>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row>
    <row r="30" spans="1:39" ht="13.9" customHeight="1">
      <c r="A30" s="54"/>
      <c r="B30" s="55"/>
      <c r="C30" s="54"/>
      <c r="D30" s="56"/>
      <c r="E30" s="54"/>
      <c r="F30" s="45"/>
      <c r="G30" s="45"/>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row>
    <row r="31" spans="1:39" ht="13.9" customHeight="1">
      <c r="A31" s="57"/>
      <c r="B31" s="58"/>
      <c r="C31" s="57"/>
      <c r="D31" s="57"/>
      <c r="E31" s="57"/>
      <c r="F31" s="45"/>
      <c r="G31" s="45"/>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row>
    <row r="32" spans="1:39" ht="13.9" customHeight="1">
      <c r="A32" s="57"/>
      <c r="B32" s="58"/>
      <c r="C32" s="57"/>
      <c r="D32" s="57"/>
      <c r="E32" s="57"/>
      <c r="F32" s="45"/>
      <c r="G32" s="45"/>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row>
    <row r="33" spans="1:39" ht="13.9" customHeight="1">
      <c r="A33" s="50"/>
      <c r="B33" s="51"/>
      <c r="C33" s="50"/>
      <c r="D33" s="59"/>
      <c r="E33" s="50"/>
      <c r="F33" s="50"/>
      <c r="G33" s="45"/>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row>
    <row r="34" spans="1:39" ht="13.9" customHeight="1">
      <c r="A34" s="50"/>
      <c r="B34" s="133" t="s">
        <v>23</v>
      </c>
      <c r="C34" s="133"/>
      <c r="D34" s="133"/>
      <c r="E34" s="133"/>
      <c r="F34" s="60"/>
      <c r="G34" s="60"/>
      <c r="H34" s="61"/>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row>
    <row r="35" spans="1:39" ht="13.9" customHeight="1">
      <c r="A35" s="50"/>
      <c r="B35" s="62"/>
      <c r="C35" s="63"/>
      <c r="D35" s="63"/>
      <c r="E35" s="64"/>
      <c r="F35" s="64"/>
      <c r="G35" s="64"/>
      <c r="H35" s="65"/>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row>
    <row r="36" spans="1:39" ht="13.9" customHeight="1">
      <c r="A36" s="50"/>
      <c r="B36" s="133" t="s">
        <v>24</v>
      </c>
      <c r="C36" s="133"/>
      <c r="D36" s="133"/>
      <c r="E36" s="133"/>
      <c r="F36" s="60"/>
      <c r="G36" s="60"/>
      <c r="H36" s="61"/>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row>
    <row r="37" spans="1:39" ht="13.9" customHeight="1">
      <c r="A37" s="50"/>
      <c r="B37" s="62"/>
      <c r="C37" s="63"/>
      <c r="D37" s="66"/>
      <c r="E37" s="64"/>
      <c r="F37" s="64"/>
      <c r="G37" s="64"/>
      <c r="H37" s="65"/>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row>
    <row r="38" spans="1:39" ht="15.75" customHeight="1">
      <c r="A38" s="50"/>
      <c r="B38" s="132" t="s">
        <v>25</v>
      </c>
      <c r="C38" s="132"/>
      <c r="D38" s="132"/>
      <c r="E38" s="132"/>
      <c r="F38" s="67"/>
      <c r="G38" s="67"/>
      <c r="H38" s="68"/>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row>
    <row r="39" spans="1:39" ht="15.75" customHeight="1">
      <c r="A39" s="50"/>
      <c r="B39" s="69"/>
      <c r="C39" s="70"/>
      <c r="D39" s="67"/>
      <c r="E39" s="67"/>
      <c r="F39" s="67"/>
      <c r="G39" s="67"/>
      <c r="H39" s="68"/>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row>
    <row r="40" spans="1:39" ht="15.75" customHeight="1">
      <c r="A40" s="50"/>
      <c r="B40" s="132" t="s">
        <v>26</v>
      </c>
      <c r="C40" s="132"/>
      <c r="D40" s="132"/>
      <c r="E40" s="132"/>
      <c r="F40" s="67"/>
      <c r="G40" s="67"/>
      <c r="H40" s="68"/>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row>
    <row r="41" spans="1:39" ht="15.75" customHeight="1">
      <c r="A41" s="50"/>
      <c r="B41" s="69"/>
      <c r="C41" s="70"/>
      <c r="D41" s="67"/>
      <c r="E41" s="67"/>
      <c r="F41" s="67"/>
      <c r="G41" s="67"/>
      <c r="H41" s="68"/>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row>
    <row r="42" spans="1:39" ht="15.75" customHeight="1">
      <c r="A42" s="50"/>
      <c r="B42" s="69"/>
      <c r="C42" s="70"/>
      <c r="D42" s="67"/>
      <c r="E42" s="67"/>
      <c r="F42" s="67"/>
      <c r="G42" s="67"/>
      <c r="H42" s="68"/>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row>
    <row r="43" spans="1:39" ht="13.9" customHeight="1">
      <c r="A43" s="50"/>
      <c r="B43" s="51"/>
      <c r="C43" s="50"/>
      <c r="D43" s="59"/>
      <c r="E43" s="50"/>
      <c r="F43" s="50"/>
      <c r="G43" s="45"/>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row>
    <row r="44" spans="1:39" ht="13.9" customHeight="1">
      <c r="A44" s="50"/>
      <c r="B44" s="51"/>
      <c r="C44" s="50"/>
      <c r="D44" s="59"/>
      <c r="E44" s="50"/>
      <c r="F44" s="50"/>
      <c r="G44" s="45"/>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row>
    <row r="45" spans="1:39" ht="13.9" customHeight="1">
      <c r="A45" s="50"/>
      <c r="B45" s="51"/>
      <c r="C45" s="50"/>
      <c r="D45" s="59"/>
      <c r="E45" s="50"/>
      <c r="F45" s="50"/>
      <c r="G45" s="45"/>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row>
    <row r="46" spans="1:39" ht="13.9" customHeight="1">
      <c r="A46" s="50"/>
      <c r="B46" s="51"/>
      <c r="C46" s="50"/>
      <c r="D46" s="59"/>
      <c r="E46" s="50"/>
      <c r="F46" s="50"/>
      <c r="G46" s="45"/>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row>
    <row r="47" spans="1:39" ht="13.9" customHeight="1">
      <c r="A47" s="50"/>
      <c r="B47" s="51"/>
      <c r="C47" s="50"/>
      <c r="D47" s="59"/>
      <c r="E47" s="50"/>
      <c r="F47" s="50"/>
      <c r="G47" s="45"/>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row>
    <row r="48" spans="1:39" ht="13.9" customHeight="1">
      <c r="A48" s="54"/>
      <c r="B48" s="55"/>
      <c r="C48" s="54"/>
      <c r="D48" s="56"/>
      <c r="E48" s="54"/>
      <c r="F48" s="54"/>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row>
    <row r="49" spans="1:39" ht="13.9" customHeight="1">
      <c r="A49" s="54"/>
      <c r="B49" s="55"/>
      <c r="C49" s="54"/>
      <c r="D49" s="56"/>
      <c r="E49" s="54"/>
      <c r="F49" s="54"/>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row>
    <row r="50" spans="1:39" ht="13.9" customHeight="1">
      <c r="A50" s="54"/>
      <c r="B50" s="55"/>
      <c r="C50" s="54"/>
      <c r="D50" s="56"/>
      <c r="E50" s="54"/>
      <c r="F50" s="54"/>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row>
    <row r="51" spans="1:39" ht="13.9" customHeight="1">
      <c r="A51" s="54"/>
      <c r="B51" s="55"/>
      <c r="C51" s="54"/>
      <c r="D51" s="56"/>
      <c r="E51" s="54"/>
      <c r="F51" s="54"/>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row>
    <row r="52" spans="1:39" ht="13.9" customHeight="1">
      <c r="A52" s="54"/>
      <c r="B52" s="55"/>
      <c r="C52" s="54"/>
      <c r="D52" s="56"/>
      <c r="E52" s="54"/>
      <c r="F52" s="54"/>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row>
    <row r="53" spans="1:39" ht="13.9" customHeight="1">
      <c r="A53" s="54"/>
      <c r="B53" s="55"/>
      <c r="C53" s="54"/>
      <c r="D53" s="56"/>
      <c r="E53" s="54"/>
      <c r="F53" s="54"/>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row>
    <row r="54" spans="1:39" ht="13.9" customHeight="1">
      <c r="A54" s="54"/>
      <c r="B54" s="55"/>
      <c r="C54" s="54"/>
      <c r="D54" s="56"/>
      <c r="E54" s="54"/>
      <c r="F54" s="54"/>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row>
    <row r="55" spans="1:39" ht="13.9" customHeight="1">
      <c r="A55" s="54"/>
      <c r="B55" s="55"/>
      <c r="C55" s="54"/>
      <c r="D55" s="56"/>
      <c r="E55" s="54"/>
      <c r="F55" s="54"/>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row>
    <row r="56" spans="1:39" ht="13.9" customHeight="1">
      <c r="A56" s="54"/>
      <c r="B56" s="55"/>
      <c r="C56" s="54"/>
      <c r="D56" s="56"/>
      <c r="E56" s="54"/>
      <c r="F56" s="54"/>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row>
    <row r="57" spans="1:39" ht="13.9" customHeight="1">
      <c r="A57" s="54"/>
      <c r="B57" s="55"/>
      <c r="C57" s="54"/>
      <c r="D57" s="56"/>
      <c r="E57" s="54"/>
      <c r="F57" s="54"/>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row>
    <row r="58" spans="1:39" ht="13.9" customHeight="1">
      <c r="A58" s="54"/>
      <c r="B58" s="55"/>
      <c r="C58" s="54"/>
      <c r="D58" s="56"/>
      <c r="E58" s="54"/>
      <c r="F58" s="54"/>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row>
    <row r="59" spans="1:39" ht="13.9" customHeight="1">
      <c r="A59" s="54"/>
      <c r="B59" s="55"/>
      <c r="C59" s="54"/>
      <c r="D59" s="56"/>
      <c r="E59" s="54"/>
      <c r="F59" s="54"/>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row>
    <row r="60" spans="1:39" ht="13.9" customHeight="1">
      <c r="A60" s="54"/>
      <c r="B60" s="55"/>
      <c r="C60" s="54"/>
      <c r="D60" s="56"/>
      <c r="E60" s="54"/>
      <c r="F60" s="54"/>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row>
    <row r="61" spans="1:39" ht="13.9" customHeight="1">
      <c r="A61" s="54"/>
      <c r="B61" s="55"/>
      <c r="C61" s="54"/>
      <c r="D61" s="56"/>
      <c r="E61" s="54"/>
      <c r="F61" s="54"/>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row>
    <row r="62" spans="1:39" ht="13.9" customHeight="1">
      <c r="A62" s="54"/>
      <c r="B62" s="55"/>
      <c r="C62" s="54"/>
      <c r="D62" s="56"/>
      <c r="E62" s="54"/>
      <c r="F62" s="54"/>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row>
    <row r="63" spans="1:39" ht="13.9" customHeight="1">
      <c r="A63" s="54"/>
      <c r="B63" s="55"/>
      <c r="C63" s="54"/>
      <c r="D63" s="56"/>
      <c r="E63" s="54"/>
      <c r="F63" s="54"/>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row>
    <row r="64" spans="1:39" ht="13.9" customHeight="1">
      <c r="A64" s="54"/>
      <c r="B64" s="55"/>
      <c r="C64" s="54"/>
      <c r="D64" s="56"/>
      <c r="E64" s="54"/>
      <c r="F64" s="54"/>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row>
    <row r="65" spans="1:39" ht="13.9" customHeight="1">
      <c r="A65" s="54"/>
      <c r="B65" s="55"/>
      <c r="C65" s="54"/>
      <c r="D65" s="56"/>
      <c r="E65" s="54"/>
      <c r="F65" s="54"/>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row>
    <row r="66" spans="1:39" ht="13.9" customHeight="1">
      <c r="A66" s="54"/>
      <c r="B66" s="55"/>
      <c r="C66" s="54"/>
      <c r="D66" s="56"/>
      <c r="E66" s="54"/>
      <c r="F66" s="54"/>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row>
    <row r="67" spans="1:39" ht="13.9" customHeight="1">
      <c r="A67" s="54"/>
      <c r="B67" s="55"/>
      <c r="C67" s="54"/>
      <c r="D67" s="56"/>
      <c r="E67" s="54"/>
      <c r="F67" s="54"/>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row>
    <row r="68" spans="1:39" ht="13.9" customHeight="1">
      <c r="A68" s="54"/>
      <c r="B68" s="55"/>
      <c r="C68" s="54"/>
      <c r="D68" s="56"/>
      <c r="E68" s="54"/>
      <c r="F68" s="54"/>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row>
    <row r="69" spans="1:39" ht="13.9" customHeight="1">
      <c r="A69" s="54"/>
      <c r="B69" s="55"/>
      <c r="C69" s="54"/>
      <c r="D69" s="56"/>
      <c r="E69" s="54"/>
      <c r="F69" s="54"/>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row>
    <row r="70" spans="1:39" ht="13.9" customHeight="1">
      <c r="A70" s="54"/>
      <c r="B70" s="55"/>
      <c r="C70" s="54"/>
      <c r="D70" s="56"/>
      <c r="E70" s="54"/>
      <c r="F70" s="54"/>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row>
    <row r="71" spans="1:39" ht="13.9" customHeight="1">
      <c r="A71" s="54"/>
      <c r="B71" s="55"/>
      <c r="C71" s="54"/>
      <c r="D71" s="56"/>
      <c r="E71" s="54"/>
      <c r="F71" s="54"/>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row>
    <row r="72" spans="1:39" ht="13.9" customHeight="1">
      <c r="A72" s="54"/>
      <c r="B72" s="55"/>
      <c r="C72" s="54"/>
      <c r="D72" s="56"/>
      <c r="E72" s="54"/>
      <c r="F72" s="54"/>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row>
    <row r="73" spans="1:39" ht="13.9" customHeight="1">
      <c r="A73" s="54"/>
      <c r="B73" s="55"/>
      <c r="C73" s="54"/>
      <c r="D73" s="56"/>
      <c r="E73" s="54"/>
      <c r="F73" s="54"/>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row>
    <row r="74" spans="1:39" ht="13.9" customHeight="1">
      <c r="A74" s="54"/>
      <c r="B74" s="55"/>
      <c r="C74" s="54"/>
      <c r="D74" s="56"/>
      <c r="E74" s="54"/>
      <c r="F74" s="54"/>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row>
    <row r="75" spans="1:39" ht="13.9" customHeight="1">
      <c r="A75" s="54"/>
      <c r="B75" s="55"/>
      <c r="C75" s="54"/>
      <c r="D75" s="56"/>
      <c r="E75" s="54"/>
      <c r="F75" s="54"/>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row>
    <row r="76" spans="1:39" ht="13.9" customHeight="1">
      <c r="A76" s="54"/>
      <c r="B76" s="55"/>
      <c r="C76" s="54"/>
      <c r="D76" s="56"/>
      <c r="E76" s="54"/>
      <c r="F76" s="54"/>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row>
    <row r="77" spans="1:39" ht="13.9" customHeight="1">
      <c r="A77" s="54"/>
      <c r="B77" s="55"/>
      <c r="C77" s="54"/>
      <c r="D77" s="56"/>
      <c r="E77" s="54"/>
      <c r="F77" s="54"/>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row>
    <row r="78" spans="1:39" ht="13.9" customHeight="1">
      <c r="A78" s="54"/>
      <c r="B78" s="55"/>
      <c r="C78" s="54"/>
      <c r="D78" s="56"/>
      <c r="E78" s="54"/>
      <c r="F78" s="54"/>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row>
    <row r="79" spans="1:39" ht="13.9" customHeight="1">
      <c r="A79" s="54"/>
      <c r="B79" s="55"/>
      <c r="C79" s="54"/>
      <c r="D79" s="56"/>
      <c r="E79" s="54"/>
      <c r="F79" s="54"/>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row>
    <row r="80" spans="1:39" ht="13.9" customHeight="1">
      <c r="A80" s="54"/>
      <c r="B80" s="55"/>
      <c r="C80" s="54"/>
      <c r="D80" s="56"/>
      <c r="E80" s="54"/>
      <c r="F80" s="54"/>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row>
    <row r="81" spans="1:39" ht="13.9" customHeight="1">
      <c r="A81" s="54"/>
      <c r="B81" s="55"/>
      <c r="C81" s="54"/>
      <c r="D81" s="56"/>
      <c r="E81" s="54"/>
      <c r="F81" s="54"/>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row>
    <row r="82" spans="1:39" ht="13.9" customHeight="1">
      <c r="A82" s="54"/>
      <c r="B82" s="55"/>
      <c r="C82" s="54"/>
      <c r="D82" s="56"/>
      <c r="E82" s="54"/>
      <c r="F82" s="54"/>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row>
    <row r="83" spans="1:39" ht="13.9" customHeight="1">
      <c r="A83" s="54"/>
      <c r="B83" s="55"/>
      <c r="C83" s="54"/>
      <c r="D83" s="56"/>
      <c r="E83" s="54"/>
      <c r="F83" s="54"/>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row>
    <row r="84" spans="1:39" ht="13.9" customHeight="1">
      <c r="A84" s="54"/>
      <c r="B84" s="55"/>
      <c r="C84" s="54"/>
      <c r="D84" s="56"/>
      <c r="E84" s="54"/>
      <c r="F84" s="54"/>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row>
    <row r="85" spans="1:39" ht="13.9" customHeight="1">
      <c r="A85" s="54"/>
      <c r="B85" s="55"/>
      <c r="C85" s="54"/>
      <c r="D85" s="56"/>
      <c r="E85" s="54"/>
      <c r="F85" s="54"/>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row>
    <row r="86" spans="1:39" ht="13.9" customHeight="1">
      <c r="A86" s="54"/>
      <c r="B86" s="55"/>
      <c r="C86" s="54"/>
      <c r="D86" s="56"/>
      <c r="E86" s="54"/>
      <c r="F86" s="54"/>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row>
    <row r="87" spans="1:39" ht="13.9" customHeight="1">
      <c r="A87" s="54"/>
      <c r="B87" s="55"/>
      <c r="C87" s="54"/>
      <c r="D87" s="56"/>
      <c r="E87" s="54"/>
      <c r="F87" s="54"/>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row>
    <row r="88" spans="1:39" ht="13.9" customHeight="1">
      <c r="A88" s="54"/>
      <c r="B88" s="55"/>
      <c r="C88" s="54"/>
      <c r="D88" s="56"/>
      <c r="E88" s="54"/>
      <c r="F88" s="54"/>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row>
    <row r="89" spans="1:39" ht="13.9" customHeight="1">
      <c r="A89" s="54"/>
      <c r="B89" s="55"/>
      <c r="C89" s="54"/>
      <c r="D89" s="56"/>
      <c r="E89" s="54"/>
      <c r="F89" s="54"/>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row>
    <row r="90" spans="1:39" ht="13.9" customHeight="1">
      <c r="A90" s="54"/>
      <c r="B90" s="55"/>
      <c r="C90" s="54"/>
      <c r="D90" s="56"/>
      <c r="E90" s="54"/>
      <c r="F90" s="54"/>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row>
    <row r="91" spans="1:39" ht="13.9" customHeight="1">
      <c r="A91" s="54"/>
      <c r="B91" s="55"/>
      <c r="C91" s="54"/>
      <c r="D91" s="56"/>
      <c r="E91" s="54"/>
      <c r="F91" s="54"/>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row>
    <row r="92" spans="1:39" ht="13.9" customHeight="1">
      <c r="A92" s="54"/>
      <c r="B92" s="55"/>
      <c r="C92" s="54"/>
      <c r="D92" s="56"/>
      <c r="E92" s="54"/>
      <c r="F92" s="54"/>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row>
    <row r="93" spans="1:39" ht="13.9" customHeight="1">
      <c r="A93" s="54"/>
      <c r="B93" s="55"/>
      <c r="C93" s="54"/>
      <c r="D93" s="56"/>
      <c r="E93" s="54"/>
      <c r="F93" s="54"/>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row>
    <row r="94" spans="1:39" ht="13.9" customHeight="1">
      <c r="A94" s="54"/>
      <c r="B94" s="55"/>
      <c r="C94" s="54"/>
      <c r="D94" s="56"/>
      <c r="E94" s="54"/>
      <c r="F94" s="54"/>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row>
    <row r="95" spans="1:39" ht="13.9" customHeight="1">
      <c r="A95" s="54"/>
      <c r="B95" s="55"/>
      <c r="C95" s="54"/>
      <c r="D95" s="56"/>
      <c r="E95" s="54"/>
      <c r="F95" s="54"/>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row>
    <row r="96" spans="1:39" ht="13.9" customHeight="1">
      <c r="A96" s="54"/>
      <c r="B96" s="55"/>
      <c r="C96" s="54"/>
      <c r="D96" s="56"/>
      <c r="E96" s="54"/>
      <c r="F96" s="54"/>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row>
    <row r="97" spans="1:39" ht="13.9" customHeight="1">
      <c r="A97" s="54"/>
      <c r="B97" s="55"/>
      <c r="C97" s="54"/>
      <c r="D97" s="56"/>
      <c r="E97" s="54"/>
      <c r="F97" s="54"/>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row>
    <row r="98" spans="1:39" ht="13.9" customHeight="1">
      <c r="A98" s="54"/>
      <c r="B98" s="55"/>
      <c r="C98" s="54"/>
      <c r="D98" s="56"/>
      <c r="E98" s="54"/>
      <c r="F98" s="54"/>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row>
    <row r="99" spans="1:39" ht="13.9" customHeight="1">
      <c r="A99" s="54"/>
      <c r="B99" s="55"/>
      <c r="C99" s="54"/>
      <c r="D99" s="56"/>
      <c r="E99" s="54"/>
      <c r="F99" s="54"/>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row>
    <row r="100" spans="1:39" ht="13.9" customHeight="1">
      <c r="A100" s="54"/>
      <c r="B100" s="55"/>
      <c r="C100" s="54"/>
      <c r="D100" s="56"/>
      <c r="E100" s="54"/>
      <c r="F100" s="54"/>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row>
    <row r="101" spans="1:39" ht="13.9" customHeight="1">
      <c r="A101" s="54"/>
      <c r="B101" s="55"/>
      <c r="C101" s="54"/>
      <c r="D101" s="56"/>
      <c r="E101" s="54"/>
      <c r="F101" s="54"/>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row>
    <row r="102" spans="1:39" ht="13.9" customHeight="1">
      <c r="A102" s="54"/>
      <c r="B102" s="55"/>
      <c r="C102" s="54"/>
      <c r="D102" s="56"/>
      <c r="E102" s="54"/>
      <c r="F102" s="54"/>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row>
    <row r="103" spans="1:39" ht="13.9" customHeight="1">
      <c r="A103" s="54"/>
      <c r="B103" s="55"/>
      <c r="C103" s="54"/>
      <c r="D103" s="56"/>
      <c r="E103" s="54"/>
      <c r="F103" s="54"/>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row>
    <row r="104" spans="1:39" ht="13.9" customHeight="1">
      <c r="A104" s="54"/>
      <c r="B104" s="55"/>
      <c r="C104" s="54"/>
      <c r="D104" s="56"/>
      <c r="E104" s="54"/>
      <c r="F104" s="54"/>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row>
    <row r="105" spans="1:39" ht="13.9" customHeight="1">
      <c r="A105" s="54"/>
      <c r="B105" s="55"/>
      <c r="C105" s="54"/>
      <c r="D105" s="56"/>
      <c r="E105" s="54"/>
      <c r="F105" s="54"/>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row>
    <row r="106" spans="1:39" ht="13.9" customHeight="1">
      <c r="A106" s="54"/>
      <c r="B106" s="55"/>
      <c r="C106" s="54"/>
      <c r="D106" s="56"/>
      <c r="E106" s="54"/>
      <c r="F106" s="54"/>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row>
    <row r="107" spans="1:39" ht="13.9" customHeight="1">
      <c r="A107" s="54"/>
      <c r="B107" s="55"/>
      <c r="C107" s="54"/>
      <c r="D107" s="56"/>
      <c r="E107" s="54"/>
      <c r="F107" s="54"/>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row>
    <row r="108" spans="1:39" ht="13.9" customHeight="1">
      <c r="A108" s="54"/>
      <c r="B108" s="55"/>
      <c r="C108" s="54"/>
      <c r="D108" s="56"/>
      <c r="E108" s="54"/>
      <c r="F108" s="54"/>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row>
    <row r="109" spans="1:39" ht="13.9" customHeight="1">
      <c r="A109" s="54"/>
      <c r="B109" s="55"/>
      <c r="C109" s="54"/>
      <c r="D109" s="56"/>
      <c r="E109" s="54"/>
      <c r="F109" s="54"/>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row>
    <row r="110" spans="1:39" ht="13.9" customHeight="1">
      <c r="A110" s="54"/>
      <c r="B110" s="55"/>
      <c r="C110" s="54"/>
      <c r="D110" s="56"/>
      <c r="E110" s="54"/>
      <c r="F110" s="54"/>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row>
    <row r="111" spans="1:39" ht="13.9" customHeight="1">
      <c r="A111" s="54"/>
      <c r="B111" s="55"/>
      <c r="C111" s="54"/>
      <c r="D111" s="56"/>
      <c r="E111" s="54"/>
      <c r="F111" s="54"/>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row>
    <row r="112" spans="1:39" ht="13.9" customHeight="1">
      <c r="A112" s="54"/>
      <c r="B112" s="55"/>
      <c r="C112" s="54"/>
      <c r="D112" s="56"/>
      <c r="E112" s="54"/>
      <c r="F112" s="54"/>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row>
    <row r="113" spans="1:39" ht="13.9" customHeight="1">
      <c r="A113" s="54"/>
      <c r="B113" s="55"/>
      <c r="C113" s="54"/>
      <c r="D113" s="56"/>
      <c r="E113" s="54"/>
      <c r="F113" s="54"/>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row>
    <row r="114" spans="1:39" ht="13.9" customHeight="1">
      <c r="A114" s="54"/>
      <c r="B114" s="55"/>
      <c r="C114" s="54"/>
      <c r="D114" s="56"/>
      <c r="E114" s="54"/>
      <c r="F114" s="54"/>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row>
    <row r="115" spans="1:39" ht="13.9" customHeight="1">
      <c r="A115" s="54"/>
      <c r="B115" s="55"/>
      <c r="C115" s="54"/>
      <c r="D115" s="56"/>
      <c r="E115" s="54"/>
      <c r="F115" s="54"/>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row>
    <row r="116" spans="1:39" ht="13.9" customHeight="1">
      <c r="A116" s="54"/>
      <c r="B116" s="55"/>
      <c r="C116" s="54"/>
      <c r="D116" s="56"/>
      <c r="E116" s="54"/>
      <c r="F116" s="54"/>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row>
    <row r="117" spans="1:39" ht="13.9" customHeight="1">
      <c r="A117" s="54"/>
      <c r="B117" s="55"/>
      <c r="C117" s="54"/>
      <c r="D117" s="56"/>
      <c r="E117" s="54"/>
      <c r="F117" s="54"/>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row>
    <row r="118" spans="1:39" ht="13.9" customHeight="1">
      <c r="A118" s="54"/>
      <c r="B118" s="55"/>
      <c r="C118" s="54"/>
      <c r="D118" s="56"/>
      <c r="E118" s="54"/>
      <c r="F118" s="54"/>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row>
    <row r="119" spans="1:39" ht="13.9" customHeight="1">
      <c r="A119" s="54"/>
      <c r="B119" s="55"/>
      <c r="C119" s="54"/>
      <c r="D119" s="56"/>
      <c r="E119" s="54"/>
      <c r="F119" s="54"/>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row>
    <row r="120" spans="1:39" ht="13.9" customHeight="1">
      <c r="A120" s="54"/>
      <c r="B120" s="55"/>
      <c r="C120" s="54"/>
      <c r="D120" s="56"/>
      <c r="E120" s="54"/>
      <c r="F120" s="54"/>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row>
    <row r="121" spans="1:39" ht="13.9" customHeight="1">
      <c r="A121" s="54"/>
      <c r="B121" s="55"/>
      <c r="C121" s="54"/>
      <c r="D121" s="56"/>
      <c r="E121" s="54"/>
      <c r="F121" s="54"/>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row>
    <row r="122" spans="1:39" ht="13.9" customHeight="1">
      <c r="A122" s="54"/>
      <c r="B122" s="55"/>
      <c r="C122" s="54"/>
      <c r="D122" s="56"/>
      <c r="E122" s="54"/>
      <c r="F122" s="54"/>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row>
    <row r="123" spans="1:39" ht="13.9" customHeight="1">
      <c r="A123" s="54"/>
      <c r="B123" s="55"/>
      <c r="C123" s="54"/>
      <c r="D123" s="56"/>
      <c r="E123" s="54"/>
      <c r="F123" s="54"/>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row>
    <row r="124" spans="1:39" ht="13.9" customHeight="1">
      <c r="A124" s="54"/>
      <c r="B124" s="55"/>
      <c r="C124" s="54"/>
      <c r="D124" s="56"/>
      <c r="E124" s="54"/>
      <c r="F124" s="54"/>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row>
    <row r="125" spans="1:39" ht="13.9" customHeight="1">
      <c r="A125" s="54"/>
      <c r="B125" s="55"/>
      <c r="C125" s="54"/>
      <c r="D125" s="56"/>
      <c r="E125" s="54"/>
      <c r="F125" s="54"/>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row>
    <row r="126" spans="1:39" ht="13.9" customHeight="1">
      <c r="A126" s="54"/>
      <c r="B126" s="55"/>
      <c r="C126" s="54"/>
      <c r="D126" s="56"/>
      <c r="E126" s="54"/>
      <c r="F126" s="54"/>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row>
    <row r="127" spans="1:39" ht="13.9" customHeight="1">
      <c r="A127" s="54"/>
      <c r="B127" s="55"/>
      <c r="C127" s="54"/>
      <c r="D127" s="56"/>
      <c r="E127" s="54"/>
      <c r="F127" s="54"/>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row>
    <row r="128" spans="1:39" ht="13.9" customHeight="1">
      <c r="A128" s="54"/>
      <c r="B128" s="55"/>
      <c r="C128" s="54"/>
      <c r="D128" s="56"/>
      <c r="E128" s="54"/>
      <c r="F128" s="54"/>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row>
    <row r="129" spans="1:39" ht="13.9" customHeight="1">
      <c r="A129" s="54"/>
      <c r="B129" s="55"/>
      <c r="C129" s="54"/>
      <c r="D129" s="56"/>
      <c r="E129" s="54"/>
      <c r="F129" s="54"/>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row>
    <row r="130" spans="1:39" ht="13.9" customHeight="1">
      <c r="A130" s="54"/>
      <c r="B130" s="55"/>
      <c r="C130" s="54"/>
      <c r="D130" s="56"/>
      <c r="E130" s="54"/>
      <c r="F130" s="54"/>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row>
    <row r="131" spans="1:39" ht="13.9" customHeight="1">
      <c r="A131" s="54"/>
      <c r="B131" s="55"/>
      <c r="C131" s="54"/>
      <c r="D131" s="56"/>
      <c r="E131" s="54"/>
      <c r="F131" s="54"/>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row>
    <row r="132" spans="1:39" ht="13.9" customHeight="1">
      <c r="A132" s="54"/>
      <c r="B132" s="55"/>
      <c r="C132" s="54"/>
      <c r="D132" s="56"/>
      <c r="E132" s="54"/>
      <c r="F132" s="54"/>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row>
    <row r="133" spans="1:39" ht="13.9" customHeight="1">
      <c r="A133" s="54"/>
      <c r="B133" s="55"/>
      <c r="C133" s="54"/>
      <c r="D133" s="56"/>
      <c r="E133" s="54"/>
      <c r="F133" s="54"/>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row>
    <row r="134" spans="1:39" ht="13.9" customHeight="1">
      <c r="A134" s="54"/>
      <c r="B134" s="55"/>
      <c r="C134" s="54"/>
      <c r="D134" s="56"/>
      <c r="E134" s="54"/>
      <c r="F134" s="54"/>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row>
    <row r="135" spans="1:39" ht="13.9" customHeight="1">
      <c r="A135" s="54"/>
      <c r="B135" s="55"/>
      <c r="C135" s="54"/>
      <c r="D135" s="56"/>
      <c r="E135" s="54"/>
      <c r="F135" s="54"/>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row>
    <row r="136" spans="1:39" ht="13.9" customHeight="1">
      <c r="A136" s="54"/>
      <c r="B136" s="55"/>
      <c r="C136" s="54"/>
      <c r="D136" s="56"/>
      <c r="E136" s="54"/>
      <c r="F136" s="54"/>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row>
    <row r="137" spans="1:39" ht="13.9" customHeight="1">
      <c r="A137" s="54"/>
      <c r="B137" s="55"/>
      <c r="C137" s="54"/>
      <c r="D137" s="56"/>
      <c r="E137" s="54"/>
      <c r="F137" s="54"/>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row>
    <row r="138" spans="1:39" ht="13.9" customHeight="1">
      <c r="A138" s="54"/>
      <c r="B138" s="55"/>
      <c r="C138" s="54"/>
      <c r="D138" s="56"/>
      <c r="E138" s="54"/>
      <c r="F138" s="54"/>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row>
    <row r="139" spans="1:39" ht="13.9" customHeight="1">
      <c r="A139" s="54"/>
      <c r="B139" s="55"/>
      <c r="C139" s="54"/>
      <c r="D139" s="56"/>
      <c r="E139" s="54"/>
      <c r="F139" s="54"/>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row>
    <row r="140" spans="1:39" ht="13.9" customHeight="1">
      <c r="A140" s="54"/>
      <c r="B140" s="55"/>
      <c r="C140" s="54"/>
      <c r="D140" s="56"/>
      <c r="E140" s="54"/>
      <c r="F140" s="54"/>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row>
    <row r="141" spans="1:39" ht="13.9" customHeight="1">
      <c r="A141" s="54"/>
      <c r="B141" s="55"/>
      <c r="C141" s="54"/>
      <c r="D141" s="56"/>
      <c r="E141" s="54"/>
      <c r="F141" s="54"/>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row>
    <row r="142" spans="1:39" ht="13.9" customHeight="1">
      <c r="A142" s="54"/>
      <c r="B142" s="55"/>
      <c r="C142" s="54"/>
      <c r="D142" s="56"/>
      <c r="E142" s="54"/>
      <c r="F142" s="54"/>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row>
    <row r="143" spans="1:39" ht="13.9" customHeight="1">
      <c r="A143" s="54"/>
      <c r="B143" s="55"/>
      <c r="C143" s="54"/>
      <c r="D143" s="56"/>
      <c r="E143" s="54"/>
      <c r="F143" s="54"/>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row>
    <row r="144" spans="1:39" ht="13.9" customHeight="1">
      <c r="A144" s="54"/>
      <c r="B144" s="55"/>
      <c r="C144" s="54"/>
      <c r="D144" s="56"/>
      <c r="E144" s="54"/>
      <c r="F144" s="54"/>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row>
    <row r="145" spans="1:39" ht="13.9" customHeight="1">
      <c r="A145" s="54"/>
      <c r="B145" s="55"/>
      <c r="C145" s="54"/>
      <c r="D145" s="56"/>
      <c r="E145" s="54"/>
      <c r="F145" s="54"/>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row>
    <row r="146" spans="1:39" ht="13.9" customHeight="1">
      <c r="A146" s="54"/>
      <c r="B146" s="55"/>
      <c r="C146" s="54"/>
      <c r="D146" s="56"/>
      <c r="E146" s="54"/>
      <c r="F146" s="54"/>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row>
    <row r="147" spans="1:39" ht="13.9" customHeight="1">
      <c r="A147" s="54"/>
      <c r="B147" s="55"/>
      <c r="C147" s="54"/>
      <c r="D147" s="56"/>
      <c r="E147" s="54"/>
      <c r="F147" s="54"/>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row>
    <row r="148" spans="1:39" ht="13.9" customHeight="1">
      <c r="A148" s="54"/>
      <c r="B148" s="55"/>
      <c r="C148" s="54"/>
      <c r="D148" s="56"/>
      <c r="E148" s="54"/>
      <c r="F148" s="54"/>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row>
    <row r="149" spans="1:39" ht="13.9" customHeight="1">
      <c r="A149" s="54"/>
      <c r="B149" s="55"/>
      <c r="C149" s="54"/>
      <c r="D149" s="56"/>
      <c r="E149" s="54"/>
      <c r="F149" s="54"/>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row>
    <row r="150" spans="1:39" ht="13.9" customHeight="1">
      <c r="A150" s="54"/>
      <c r="B150" s="55"/>
      <c r="C150" s="54"/>
      <c r="D150" s="56"/>
      <c r="E150" s="54"/>
      <c r="F150" s="54"/>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row>
    <row r="151" spans="1:39" ht="13.9" customHeight="1">
      <c r="A151" s="54"/>
      <c r="B151" s="55"/>
      <c r="C151" s="54"/>
      <c r="D151" s="56"/>
      <c r="E151" s="54"/>
      <c r="F151" s="54"/>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row>
    <row r="152" spans="1:39" ht="13.9" customHeight="1">
      <c r="A152" s="54"/>
      <c r="B152" s="55"/>
      <c r="C152" s="54"/>
      <c r="D152" s="56"/>
      <c r="E152" s="54"/>
      <c r="F152" s="54"/>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row>
    <row r="153" spans="1:39" ht="13.9" customHeight="1">
      <c r="A153" s="54"/>
      <c r="B153" s="55"/>
      <c r="C153" s="54"/>
      <c r="D153" s="56"/>
      <c r="E153" s="54"/>
      <c r="F153" s="54"/>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row>
    <row r="154" spans="1:39" ht="13.9" customHeight="1">
      <c r="A154" s="54"/>
      <c r="B154" s="55"/>
      <c r="C154" s="54"/>
      <c r="D154" s="56"/>
      <c r="E154" s="54"/>
      <c r="F154" s="54"/>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row>
    <row r="155" spans="1:39" ht="13.9" customHeight="1">
      <c r="A155" s="54"/>
      <c r="B155" s="55"/>
      <c r="C155" s="54"/>
      <c r="D155" s="56"/>
      <c r="E155" s="54"/>
      <c r="F155" s="54"/>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row>
    <row r="156" spans="1:39" ht="13.9" customHeight="1">
      <c r="A156" s="54"/>
      <c r="B156" s="55"/>
      <c r="C156" s="54"/>
      <c r="D156" s="56"/>
      <c r="E156" s="54"/>
      <c r="F156" s="54"/>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row>
    <row r="157" spans="1:39" ht="13.9" customHeight="1">
      <c r="A157" s="54"/>
      <c r="B157" s="55"/>
      <c r="C157" s="54"/>
      <c r="D157" s="56"/>
      <c r="E157" s="54"/>
      <c r="F157" s="54"/>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row>
    <row r="158" spans="1:39" ht="13.9" customHeight="1">
      <c r="A158" s="54"/>
      <c r="B158" s="55"/>
      <c r="C158" s="54"/>
      <c r="D158" s="56"/>
      <c r="E158" s="54"/>
      <c r="F158" s="54"/>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row>
    <row r="159" spans="1:39" ht="13.9" customHeight="1">
      <c r="A159" s="54"/>
      <c r="B159" s="55"/>
      <c r="C159" s="54"/>
      <c r="D159" s="56"/>
      <c r="E159" s="54"/>
      <c r="F159" s="54"/>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row>
    <row r="160" spans="1:39" ht="13.9" customHeight="1">
      <c r="A160" s="54"/>
      <c r="B160" s="55"/>
      <c r="C160" s="54"/>
      <c r="D160" s="56"/>
      <c r="E160" s="54"/>
      <c r="F160" s="54"/>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row>
    <row r="161" spans="1:39" ht="13.9" customHeight="1">
      <c r="A161" s="54"/>
      <c r="B161" s="55"/>
      <c r="C161" s="54"/>
      <c r="D161" s="56"/>
      <c r="E161" s="54"/>
      <c r="F161" s="54"/>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row>
    <row r="162" spans="1:39" ht="13.9" customHeight="1">
      <c r="A162" s="54"/>
      <c r="B162" s="55"/>
      <c r="C162" s="54"/>
      <c r="D162" s="56"/>
      <c r="E162" s="54"/>
      <c r="F162" s="54"/>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row>
    <row r="163" spans="1:39" ht="13.9" customHeight="1">
      <c r="A163" s="54"/>
      <c r="B163" s="55"/>
      <c r="C163" s="54"/>
      <c r="D163" s="56"/>
      <c r="E163" s="54"/>
      <c r="F163" s="54"/>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row>
    <row r="164" spans="1:39" ht="13.9" customHeight="1">
      <c r="A164" s="54"/>
      <c r="B164" s="55"/>
      <c r="C164" s="54"/>
      <c r="D164" s="56"/>
      <c r="E164" s="54"/>
      <c r="F164" s="54"/>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row>
    <row r="165" spans="1:39" ht="13.9" customHeight="1">
      <c r="A165" s="54"/>
      <c r="B165" s="55"/>
      <c r="C165" s="54"/>
      <c r="D165" s="56"/>
      <c r="E165" s="54"/>
      <c r="F165" s="54"/>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row>
    <row r="166" spans="1:39" ht="13.9" customHeight="1">
      <c r="A166" s="54"/>
      <c r="B166" s="55"/>
      <c r="C166" s="54"/>
      <c r="D166" s="56"/>
      <c r="E166" s="54"/>
      <c r="F166" s="54"/>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row>
    <row r="167" spans="1:39" ht="13.9" customHeight="1">
      <c r="A167" s="54"/>
      <c r="B167" s="55"/>
      <c r="C167" s="54"/>
      <c r="D167" s="56"/>
      <c r="E167" s="54"/>
      <c r="F167" s="54"/>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row>
    <row r="168" spans="1:39" ht="13.9" customHeight="1">
      <c r="A168" s="54"/>
      <c r="B168" s="55"/>
      <c r="C168" s="54"/>
      <c r="D168" s="56"/>
      <c r="E168" s="54"/>
      <c r="F168" s="54"/>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row>
    <row r="169" spans="1:39" ht="13.9" customHeight="1">
      <c r="A169" s="54"/>
      <c r="B169" s="55"/>
      <c r="C169" s="54"/>
      <c r="D169" s="56"/>
      <c r="E169" s="54"/>
      <c r="F169" s="54"/>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row>
    <row r="170" spans="1:39" ht="13.9" customHeight="1">
      <c r="A170" s="54"/>
      <c r="B170" s="55"/>
      <c r="C170" s="54"/>
      <c r="D170" s="56"/>
      <c r="E170" s="54"/>
      <c r="F170" s="54"/>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row>
    <row r="171" spans="1:39" ht="13.9" customHeight="1">
      <c r="A171" s="54"/>
      <c r="B171" s="55"/>
      <c r="C171" s="54"/>
      <c r="D171" s="56"/>
      <c r="E171" s="54"/>
      <c r="F171" s="54"/>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row>
    <row r="172" spans="1:39" ht="13.9" customHeight="1">
      <c r="A172" s="54"/>
      <c r="B172" s="55"/>
      <c r="C172" s="54"/>
      <c r="D172" s="56"/>
      <c r="E172" s="54"/>
      <c r="F172" s="54"/>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row>
    <row r="173" spans="1:39" ht="13.9" customHeight="1">
      <c r="A173" s="54"/>
      <c r="B173" s="55"/>
      <c r="C173" s="54"/>
      <c r="D173" s="56"/>
      <c r="E173" s="54"/>
      <c r="F173" s="54"/>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row>
    <row r="174" spans="1:39" ht="13.9" customHeight="1">
      <c r="A174" s="54"/>
      <c r="B174" s="55"/>
      <c r="C174" s="54"/>
      <c r="D174" s="56"/>
      <c r="E174" s="54"/>
      <c r="F174" s="54"/>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row>
    <row r="175" spans="1:39" ht="13.9" customHeight="1">
      <c r="A175" s="54"/>
      <c r="B175" s="55"/>
      <c r="C175" s="54"/>
      <c r="D175" s="56"/>
      <c r="E175" s="54"/>
      <c r="F175" s="54"/>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row>
    <row r="176" spans="1:39" ht="13.9" customHeight="1">
      <c r="A176" s="54"/>
      <c r="B176" s="55"/>
      <c r="C176" s="54"/>
      <c r="D176" s="56"/>
      <c r="E176" s="54"/>
      <c r="F176" s="54"/>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row>
    <row r="177" spans="1:39" ht="13.9" customHeight="1">
      <c r="A177" s="54"/>
      <c r="B177" s="55"/>
      <c r="C177" s="54"/>
      <c r="D177" s="56"/>
      <c r="E177" s="54"/>
      <c r="F177" s="54"/>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row>
    <row r="178" spans="1:39" ht="13.9" customHeight="1">
      <c r="A178" s="54"/>
      <c r="B178" s="55"/>
      <c r="C178" s="54"/>
      <c r="D178" s="56"/>
      <c r="E178" s="54"/>
      <c r="F178" s="54"/>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row>
    <row r="179" spans="1:39" ht="13.9" customHeight="1">
      <c r="A179" s="54"/>
      <c r="B179" s="55"/>
      <c r="C179" s="54"/>
      <c r="D179" s="56"/>
      <c r="E179" s="54"/>
      <c r="F179" s="54"/>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row>
    <row r="180" spans="1:39" ht="13.9" customHeight="1">
      <c r="A180" s="54"/>
      <c r="B180" s="55"/>
      <c r="C180" s="54"/>
      <c r="D180" s="56"/>
      <c r="E180" s="54"/>
      <c r="F180" s="54"/>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row>
    <row r="181" spans="1:39" ht="13.9" customHeight="1">
      <c r="A181" s="54"/>
      <c r="B181" s="55"/>
      <c r="C181" s="54"/>
      <c r="D181" s="56"/>
      <c r="E181" s="54"/>
      <c r="F181" s="54"/>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row>
    <row r="182" spans="1:39" ht="13.9" customHeight="1">
      <c r="A182" s="54"/>
      <c r="B182" s="55"/>
      <c r="C182" s="54"/>
      <c r="D182" s="56"/>
      <c r="E182" s="54"/>
      <c r="F182" s="54"/>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row>
    <row r="183" spans="1:39" ht="13.9" customHeight="1">
      <c r="A183" s="54"/>
      <c r="B183" s="55"/>
      <c r="C183" s="54"/>
      <c r="D183" s="56"/>
      <c r="E183" s="54"/>
      <c r="F183" s="54"/>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row>
    <row r="184" spans="1:39" ht="13.9" customHeight="1">
      <c r="A184" s="54"/>
      <c r="B184" s="55"/>
      <c r="C184" s="54"/>
      <c r="D184" s="56"/>
      <c r="E184" s="54"/>
      <c r="F184" s="54"/>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row>
    <row r="185" spans="1:39" ht="13.9" customHeight="1">
      <c r="A185" s="54"/>
      <c r="B185" s="55"/>
      <c r="C185" s="54"/>
      <c r="D185" s="56"/>
      <c r="E185" s="54"/>
      <c r="F185" s="54"/>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row>
    <row r="186" spans="1:39" ht="13.9" customHeight="1">
      <c r="A186" s="54"/>
      <c r="B186" s="55"/>
      <c r="C186" s="54"/>
      <c r="D186" s="56"/>
      <c r="E186" s="54"/>
      <c r="F186" s="54"/>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row>
    <row r="187" spans="1:39" ht="13.9" customHeight="1">
      <c r="A187" s="54"/>
      <c r="B187" s="55"/>
      <c r="C187" s="54"/>
      <c r="D187" s="56"/>
      <c r="E187" s="54"/>
      <c r="F187" s="54"/>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row>
    <row r="188" spans="1:39" ht="13.9" customHeight="1">
      <c r="A188" s="54"/>
      <c r="B188" s="55"/>
      <c r="C188" s="54"/>
      <c r="D188" s="56"/>
      <c r="E188" s="54"/>
      <c r="F188" s="54"/>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row>
    <row r="189" spans="1:39" ht="13.9" customHeight="1">
      <c r="A189" s="54"/>
      <c r="B189" s="55"/>
      <c r="C189" s="54"/>
      <c r="D189" s="56"/>
      <c r="E189" s="54"/>
      <c r="F189" s="54"/>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row>
    <row r="190" spans="1:39" ht="13.9" customHeight="1">
      <c r="A190" s="54"/>
      <c r="B190" s="55"/>
      <c r="C190" s="54"/>
      <c r="D190" s="56"/>
      <c r="E190" s="54"/>
      <c r="F190" s="54"/>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row>
    <row r="191" spans="1:39" ht="13.9" customHeight="1">
      <c r="A191" s="54"/>
      <c r="B191" s="55"/>
      <c r="C191" s="54"/>
      <c r="D191" s="56"/>
      <c r="E191" s="54"/>
      <c r="F191" s="54"/>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row>
    <row r="192" spans="1:39" ht="13.9" customHeight="1">
      <c r="A192" s="54"/>
      <c r="B192" s="55"/>
      <c r="C192" s="54"/>
      <c r="D192" s="56"/>
      <c r="E192" s="54"/>
      <c r="F192" s="54"/>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row>
    <row r="193" spans="1:39" ht="13.9" customHeight="1">
      <c r="A193" s="54"/>
      <c r="B193" s="55"/>
      <c r="C193" s="54"/>
      <c r="D193" s="56"/>
      <c r="E193" s="54"/>
      <c r="F193" s="54"/>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row>
    <row r="194" spans="1:39" ht="13.9" customHeight="1">
      <c r="A194" s="54"/>
      <c r="B194" s="55"/>
      <c r="C194" s="54"/>
      <c r="D194" s="56"/>
      <c r="E194" s="54"/>
      <c r="F194" s="54"/>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row>
    <row r="195" spans="1:39" ht="13.9" customHeight="1">
      <c r="A195" s="54"/>
      <c r="B195" s="55"/>
      <c r="C195" s="54"/>
      <c r="D195" s="56"/>
      <c r="E195" s="54"/>
      <c r="F195" s="54"/>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row>
    <row r="196" spans="1:39" ht="13.9" customHeight="1">
      <c r="A196" s="54"/>
      <c r="B196" s="55"/>
      <c r="C196" s="54"/>
      <c r="D196" s="56"/>
      <c r="E196" s="54"/>
      <c r="F196" s="54"/>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row>
    <row r="197" spans="1:39" ht="13.9" customHeight="1">
      <c r="A197" s="54"/>
      <c r="B197" s="55"/>
      <c r="C197" s="54"/>
      <c r="D197" s="56"/>
      <c r="E197" s="54"/>
      <c r="F197" s="54"/>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row>
    <row r="198" spans="1:39" ht="13.9" customHeight="1">
      <c r="A198" s="54"/>
      <c r="B198" s="55"/>
      <c r="C198" s="54"/>
      <c r="D198" s="56"/>
      <c r="E198" s="54"/>
      <c r="F198" s="54"/>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row>
    <row r="199" spans="1:39" ht="13.9" customHeight="1">
      <c r="A199" s="54"/>
      <c r="B199" s="55"/>
      <c r="C199" s="54"/>
      <c r="D199" s="56"/>
      <c r="E199" s="54"/>
      <c r="F199" s="54"/>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row>
  </sheetData>
  <mergeCells count="46">
    <mergeCell ref="C7:D7"/>
    <mergeCell ref="F16:G16"/>
    <mergeCell ref="C22:D22"/>
    <mergeCell ref="A1:G2"/>
    <mergeCell ref="F19:G19"/>
    <mergeCell ref="C13:D13"/>
    <mergeCell ref="C12:D12"/>
    <mergeCell ref="F15:G15"/>
    <mergeCell ref="C8:D8"/>
    <mergeCell ref="F17:G17"/>
    <mergeCell ref="C16:D16"/>
    <mergeCell ref="C11:D11"/>
    <mergeCell ref="F10:G10"/>
    <mergeCell ref="F20:G20"/>
    <mergeCell ref="F8:G8"/>
    <mergeCell ref="B38:E38"/>
    <mergeCell ref="A28:E28"/>
    <mergeCell ref="F24:G24"/>
    <mergeCell ref="F9:G9"/>
    <mergeCell ref="A27:C27"/>
    <mergeCell ref="C17:D17"/>
    <mergeCell ref="B34:E34"/>
    <mergeCell ref="F25:G25"/>
    <mergeCell ref="C9:D9"/>
    <mergeCell ref="C10:D10"/>
    <mergeCell ref="F11:G11"/>
    <mergeCell ref="F22:G22"/>
    <mergeCell ref="F13:G13"/>
    <mergeCell ref="A26:B26"/>
    <mergeCell ref="C25:D25"/>
    <mergeCell ref="B40:E40"/>
    <mergeCell ref="B36:E36"/>
    <mergeCell ref="F12:G12"/>
    <mergeCell ref="C18:D18"/>
    <mergeCell ref="C19:D19"/>
    <mergeCell ref="C23:D23"/>
    <mergeCell ref="C14:D14"/>
    <mergeCell ref="F18:G18"/>
    <mergeCell ref="C15:D15"/>
    <mergeCell ref="F21:G21"/>
    <mergeCell ref="A29:E29"/>
    <mergeCell ref="C24:D24"/>
    <mergeCell ref="C21:D21"/>
    <mergeCell ref="F23:G23"/>
    <mergeCell ref="F14:G14"/>
    <mergeCell ref="C20:D20"/>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1E978-D63B-47D6-BCBB-65B780DC0C39}">
  <sheetPr>
    <outlinePr summaryBelow="0" summaryRight="0"/>
  </sheetPr>
  <dimension ref="A1:K121"/>
  <sheetViews>
    <sheetView topLeftCell="A37" zoomScale="85" zoomScaleNormal="85" workbookViewId="0">
      <selection activeCell="A11" sqref="A11:C19"/>
    </sheetView>
  </sheetViews>
  <sheetFormatPr defaultColWidth="9" defaultRowHeight="13.9" customHeight="1"/>
  <cols>
    <col min="1" max="1" width="35.5859375" style="83" customWidth="1"/>
    <col min="2" max="2" width="22.5859375" style="83" customWidth="1"/>
    <col min="3" max="3" width="81.46875" style="83" customWidth="1"/>
    <col min="8" max="8" width="37.5859375" style="83" customWidth="1"/>
    <col min="9" max="9" width="57.17578125" style="83" customWidth="1"/>
    <col min="11" max="11" width="54.3515625" style="83" customWidth="1"/>
  </cols>
  <sheetData>
    <row r="1" spans="1:3" ht="21.4" customHeight="1">
      <c r="A1" s="170" t="s">
        <v>27</v>
      </c>
      <c r="B1" s="170"/>
      <c r="C1" s="170"/>
    </row>
    <row r="2" spans="1:3" ht="14.25" customHeight="1">
      <c r="A2" s="84" t="s">
        <v>28</v>
      </c>
      <c r="B2" s="154" t="s">
        <v>29</v>
      </c>
      <c r="C2" s="155"/>
    </row>
    <row r="3" spans="1:3" ht="14.25" customHeight="1">
      <c r="A3" s="84" t="s">
        <v>30</v>
      </c>
      <c r="B3" s="154" t="s">
        <v>1295</v>
      </c>
      <c r="C3" s="155"/>
    </row>
    <row r="4" spans="1:3" ht="14.25" customHeight="1">
      <c r="A4" s="103" t="s">
        <v>1292</v>
      </c>
      <c r="B4" s="152"/>
      <c r="C4" s="153"/>
    </row>
    <row r="5" spans="1:3" ht="14.25" customHeight="1">
      <c r="A5" s="103" t="s">
        <v>31</v>
      </c>
      <c r="B5" s="152"/>
      <c r="C5" s="153"/>
    </row>
    <row r="6" spans="1:3" ht="14.25" customHeight="1">
      <c r="A6" s="103" t="s">
        <v>1293</v>
      </c>
      <c r="B6" s="152" t="s">
        <v>1294</v>
      </c>
      <c r="C6" s="153"/>
    </row>
    <row r="7" spans="1:3" ht="14.25" customHeight="1">
      <c r="A7" s="104" t="s">
        <v>1546</v>
      </c>
      <c r="B7" s="165" t="s">
        <v>1547</v>
      </c>
      <c r="C7" s="166"/>
    </row>
    <row r="8" spans="1:3" ht="53" customHeight="1">
      <c r="A8" s="104" t="s">
        <v>1330</v>
      </c>
      <c r="B8" s="152" t="s">
        <v>1296</v>
      </c>
      <c r="C8" s="164"/>
    </row>
    <row r="9" spans="1:3" ht="53" customHeight="1">
      <c r="A9" s="104" t="s">
        <v>1331</v>
      </c>
      <c r="B9" s="152"/>
      <c r="C9" s="173"/>
    </row>
    <row r="10" spans="1:3" ht="52.05" customHeight="1">
      <c r="A10" s="157" t="s">
        <v>1332</v>
      </c>
      <c r="B10" s="158"/>
      <c r="C10" s="158"/>
    </row>
    <row r="11" spans="1:3" ht="13.9" customHeight="1">
      <c r="A11" s="156" t="s">
        <v>1545</v>
      </c>
      <c r="B11" s="156"/>
      <c r="C11" s="156"/>
    </row>
    <row r="12" spans="1:3" ht="13.9" customHeight="1">
      <c r="A12" s="156"/>
      <c r="B12" s="156"/>
      <c r="C12" s="156"/>
    </row>
    <row r="13" spans="1:3" ht="13.9" customHeight="1">
      <c r="A13" s="156"/>
      <c r="B13" s="156"/>
      <c r="C13" s="156"/>
    </row>
    <row r="14" spans="1:3" ht="13.9" customHeight="1">
      <c r="A14" s="156"/>
      <c r="B14" s="156"/>
      <c r="C14" s="156"/>
    </row>
    <row r="15" spans="1:3" ht="13.9" customHeight="1">
      <c r="A15" s="156"/>
      <c r="B15" s="156"/>
      <c r="C15" s="156"/>
    </row>
    <row r="16" spans="1:3" ht="64.8" customHeight="1">
      <c r="A16" s="156"/>
      <c r="B16" s="156"/>
      <c r="C16" s="156"/>
    </row>
    <row r="17" spans="1:9" ht="39.75" customHeight="1">
      <c r="A17" s="156"/>
      <c r="B17" s="156"/>
      <c r="C17" s="156"/>
    </row>
    <row r="18" spans="1:9" ht="34.049999999999997" customHeight="1">
      <c r="A18" s="156"/>
      <c r="B18" s="156"/>
      <c r="C18" s="156"/>
    </row>
    <row r="19" spans="1:9" ht="34.15" customHeight="1">
      <c r="A19" s="156"/>
      <c r="B19" s="156"/>
      <c r="C19" s="156"/>
    </row>
    <row r="20" spans="1:9" ht="14.25" customHeight="1">
      <c r="A20" s="159" t="s">
        <v>32</v>
      </c>
      <c r="B20" s="160"/>
      <c r="C20" s="160"/>
    </row>
    <row r="21" spans="1:9" ht="13.9" customHeight="1">
      <c r="A21" s="161" t="s">
        <v>1454</v>
      </c>
      <c r="B21" s="161"/>
      <c r="C21" s="161"/>
    </row>
    <row r="22" spans="1:9" ht="13.9" customHeight="1">
      <c r="A22" s="162"/>
      <c r="B22" s="162"/>
      <c r="C22" s="162"/>
    </row>
    <row r="23" spans="1:9" ht="13.9" customHeight="1">
      <c r="A23" s="162"/>
      <c r="B23" s="162"/>
      <c r="C23" s="162"/>
    </row>
    <row r="24" spans="1:9" ht="13.9" customHeight="1">
      <c r="A24" s="162"/>
      <c r="B24" s="162"/>
      <c r="C24" s="162"/>
    </row>
    <row r="25" spans="1:9" ht="13.9" customHeight="1">
      <c r="A25" s="162"/>
      <c r="B25" s="162"/>
      <c r="C25" s="162"/>
    </row>
    <row r="26" spans="1:9" ht="13.9" customHeight="1">
      <c r="A26" s="162"/>
      <c r="B26" s="162"/>
      <c r="C26" s="162"/>
    </row>
    <row r="27" spans="1:9" ht="13.9" customHeight="1">
      <c r="A27" s="162"/>
      <c r="B27" s="162"/>
      <c r="C27" s="162"/>
    </row>
    <row r="28" spans="1:9" ht="13.9" customHeight="1">
      <c r="A28" s="162"/>
      <c r="B28" s="162"/>
      <c r="C28" s="162"/>
    </row>
    <row r="29" spans="1:9" ht="13.9" customHeight="1">
      <c r="A29" s="162"/>
      <c r="B29" s="162"/>
      <c r="C29" s="162"/>
    </row>
    <row r="30" spans="1:9" ht="259.89999999999998" customHeight="1">
      <c r="A30" s="163"/>
      <c r="B30" s="163"/>
      <c r="C30" s="163"/>
    </row>
    <row r="31" spans="1:9" ht="14.25" customHeight="1">
      <c r="A31" s="169" t="s">
        <v>33</v>
      </c>
      <c r="B31" s="158"/>
      <c r="C31" s="158"/>
      <c r="D31" s="87"/>
      <c r="E31" s="87"/>
      <c r="F31" s="87"/>
      <c r="G31" s="87"/>
      <c r="H31" s="87"/>
      <c r="I31" s="87"/>
    </row>
    <row r="32" spans="1:9" ht="14.25" customHeight="1">
      <c r="A32" s="88" t="s">
        <v>34</v>
      </c>
      <c r="B32" s="89" t="s">
        <v>35</v>
      </c>
      <c r="C32" s="89" t="s">
        <v>36</v>
      </c>
      <c r="D32" s="88" t="s">
        <v>37</v>
      </c>
      <c r="E32" s="88" t="s">
        <v>38</v>
      </c>
      <c r="F32" s="88" t="s">
        <v>39</v>
      </c>
      <c r="G32" s="88" t="s">
        <v>40</v>
      </c>
      <c r="H32" s="88" t="s">
        <v>41</v>
      </c>
      <c r="I32" s="89" t="s">
        <v>42</v>
      </c>
    </row>
    <row r="33" spans="1:9" ht="27.75" customHeight="1">
      <c r="A33" s="90" t="s">
        <v>43</v>
      </c>
      <c r="B33" s="90" t="s">
        <v>44</v>
      </c>
      <c r="C33" s="90" t="s">
        <v>45</v>
      </c>
      <c r="D33" s="90">
        <v>8443</v>
      </c>
      <c r="E33" s="90" t="s">
        <v>46</v>
      </c>
      <c r="F33" s="90" t="s">
        <v>47</v>
      </c>
      <c r="G33" s="90" t="s">
        <v>48</v>
      </c>
      <c r="H33" s="90" t="s">
        <v>49</v>
      </c>
      <c r="I33" s="150" t="s">
        <v>50</v>
      </c>
    </row>
    <row r="34" spans="1:9" ht="27.75" customHeight="1">
      <c r="A34" s="90" t="s">
        <v>43</v>
      </c>
      <c r="B34" s="90" t="s">
        <v>44</v>
      </c>
      <c r="C34" s="90" t="s">
        <v>45</v>
      </c>
      <c r="D34" s="90">
        <v>443</v>
      </c>
      <c r="E34" s="90" t="s">
        <v>46</v>
      </c>
      <c r="F34" s="90" t="s">
        <v>47</v>
      </c>
      <c r="G34" s="90" t="s">
        <v>48</v>
      </c>
      <c r="H34" s="90" t="s">
        <v>49</v>
      </c>
      <c r="I34" s="151"/>
    </row>
    <row r="35" spans="1:9" ht="27.75" customHeight="1">
      <c r="A35" s="90" t="s">
        <v>43</v>
      </c>
      <c r="B35" s="90" t="s">
        <v>44</v>
      </c>
      <c r="C35" s="90" t="s">
        <v>45</v>
      </c>
      <c r="D35" s="90">
        <v>8080</v>
      </c>
      <c r="E35" s="90" t="s">
        <v>51</v>
      </c>
      <c r="F35" s="90" t="s">
        <v>47</v>
      </c>
      <c r="G35" s="90" t="s">
        <v>52</v>
      </c>
      <c r="H35" s="90" t="s">
        <v>53</v>
      </c>
      <c r="I35" s="151"/>
    </row>
    <row r="36" spans="1:9" ht="27.75" customHeight="1">
      <c r="A36" s="90" t="s">
        <v>43</v>
      </c>
      <c r="B36" s="90" t="s">
        <v>44</v>
      </c>
      <c r="C36" s="90" t="s">
        <v>45</v>
      </c>
      <c r="D36" s="90">
        <v>22</v>
      </c>
      <c r="E36" s="90" t="s">
        <v>54</v>
      </c>
      <c r="F36" s="90" t="s">
        <v>47</v>
      </c>
      <c r="G36" s="90" t="s">
        <v>48</v>
      </c>
      <c r="H36" s="90" t="s">
        <v>55</v>
      </c>
      <c r="I36" s="151"/>
    </row>
    <row r="37" spans="1:9" ht="27.75" customHeight="1">
      <c r="A37" s="90" t="s">
        <v>43</v>
      </c>
      <c r="B37" s="90" t="s">
        <v>44</v>
      </c>
      <c r="C37" s="90" t="s">
        <v>45</v>
      </c>
      <c r="D37" s="90">
        <v>22</v>
      </c>
      <c r="E37" s="90" t="s">
        <v>1534</v>
      </c>
      <c r="F37" s="90" t="s">
        <v>47</v>
      </c>
      <c r="G37" s="90" t="s">
        <v>48</v>
      </c>
      <c r="H37" s="90" t="s">
        <v>55</v>
      </c>
      <c r="I37" s="151"/>
    </row>
    <row r="38" spans="1:9" ht="27.75" customHeight="1">
      <c r="A38" s="90" t="s">
        <v>43</v>
      </c>
      <c r="B38" s="90" t="s">
        <v>44</v>
      </c>
      <c r="C38" s="90" t="s">
        <v>45</v>
      </c>
      <c r="D38" s="90">
        <v>102</v>
      </c>
      <c r="E38" s="90" t="s">
        <v>56</v>
      </c>
      <c r="F38" s="90" t="s">
        <v>47</v>
      </c>
      <c r="G38" s="90" t="s">
        <v>48</v>
      </c>
      <c r="H38" s="90" t="s">
        <v>55</v>
      </c>
      <c r="I38" s="151"/>
    </row>
    <row r="39" spans="1:9" ht="27.75" customHeight="1">
      <c r="A39" s="90" t="s">
        <v>57</v>
      </c>
      <c r="B39" s="90" t="s">
        <v>44</v>
      </c>
      <c r="C39" s="90" t="s">
        <v>45</v>
      </c>
      <c r="D39" s="90" t="s">
        <v>58</v>
      </c>
      <c r="E39" s="90" t="s">
        <v>59</v>
      </c>
      <c r="F39" s="90" t="s">
        <v>52</v>
      </c>
      <c r="G39" s="90" t="s">
        <v>48</v>
      </c>
      <c r="H39" s="90" t="s">
        <v>60</v>
      </c>
      <c r="I39" s="151"/>
    </row>
    <row r="40" spans="1:9" ht="27.75" customHeight="1">
      <c r="A40" s="90" t="s">
        <v>57</v>
      </c>
      <c r="B40" s="90" t="s">
        <v>44</v>
      </c>
      <c r="C40" s="90" t="s">
        <v>45</v>
      </c>
      <c r="D40" s="90" t="s">
        <v>61</v>
      </c>
      <c r="E40" s="90" t="s">
        <v>62</v>
      </c>
      <c r="F40" s="90" t="s">
        <v>52</v>
      </c>
      <c r="G40" s="90" t="s">
        <v>48</v>
      </c>
      <c r="H40" s="90" t="s">
        <v>63</v>
      </c>
      <c r="I40" s="151"/>
    </row>
    <row r="41" spans="1:9" ht="27.75" customHeight="1">
      <c r="A41" s="90" t="s">
        <v>57</v>
      </c>
      <c r="B41" s="90" t="s">
        <v>44</v>
      </c>
      <c r="C41" s="90" t="s">
        <v>45</v>
      </c>
      <c r="D41" s="90">
        <v>802</v>
      </c>
      <c r="E41" s="90" t="s">
        <v>62</v>
      </c>
      <c r="F41" s="90" t="s">
        <v>52</v>
      </c>
      <c r="G41" s="90" t="s">
        <v>48</v>
      </c>
      <c r="H41" s="90" t="s">
        <v>64</v>
      </c>
      <c r="I41" s="151"/>
    </row>
    <row r="42" spans="1:9" ht="27.75" customHeight="1">
      <c r="A42" s="90" t="s">
        <v>43</v>
      </c>
      <c r="B42" s="90" t="s">
        <v>44</v>
      </c>
      <c r="C42" s="90" t="s">
        <v>45</v>
      </c>
      <c r="D42" s="90" t="s">
        <v>65</v>
      </c>
      <c r="E42" s="90" t="s">
        <v>66</v>
      </c>
      <c r="F42" s="90" t="s">
        <v>52</v>
      </c>
      <c r="G42" s="90" t="s">
        <v>48</v>
      </c>
      <c r="H42" s="90" t="s">
        <v>67</v>
      </c>
      <c r="I42" s="151"/>
    </row>
    <row r="43" spans="1:9" ht="27.75" customHeight="1">
      <c r="A43" s="90" t="s">
        <v>43</v>
      </c>
      <c r="B43" s="90" t="s">
        <v>68</v>
      </c>
      <c r="C43" s="90" t="s">
        <v>45</v>
      </c>
      <c r="D43" s="90" t="s">
        <v>69</v>
      </c>
      <c r="E43" s="90" t="s">
        <v>70</v>
      </c>
      <c r="F43" s="90" t="s">
        <v>47</v>
      </c>
      <c r="G43" s="90" t="s">
        <v>52</v>
      </c>
      <c r="H43" s="90" t="s">
        <v>71</v>
      </c>
      <c r="I43" s="151"/>
    </row>
    <row r="44" spans="1:9" ht="14.25" customHeight="1">
      <c r="A44" s="90" t="s">
        <v>45</v>
      </c>
      <c r="B44" s="90" t="s">
        <v>44</v>
      </c>
      <c r="C44" s="90" t="s">
        <v>72</v>
      </c>
      <c r="D44" s="90">
        <v>19999</v>
      </c>
      <c r="E44" s="90" t="s">
        <v>73</v>
      </c>
      <c r="F44" s="90" t="s">
        <v>74</v>
      </c>
      <c r="G44" s="90" t="s">
        <v>52</v>
      </c>
      <c r="H44" s="90" t="s">
        <v>75</v>
      </c>
      <c r="I44" s="151"/>
    </row>
    <row r="45" spans="1:9" ht="27.75" customHeight="1">
      <c r="A45" s="90" t="s">
        <v>45</v>
      </c>
      <c r="B45" s="90" t="s">
        <v>44</v>
      </c>
      <c r="C45" s="90" t="s">
        <v>72</v>
      </c>
      <c r="D45" s="90">
        <v>16668</v>
      </c>
      <c r="E45" s="90" t="s">
        <v>73</v>
      </c>
      <c r="F45" s="90" t="s">
        <v>74</v>
      </c>
      <c r="G45" s="90" t="s">
        <v>76</v>
      </c>
      <c r="H45" s="90" t="s">
        <v>75</v>
      </c>
      <c r="I45" s="151"/>
    </row>
    <row r="46" spans="1:9" ht="14.25" customHeight="1">
      <c r="A46" s="90" t="s">
        <v>45</v>
      </c>
      <c r="B46" s="90" t="s">
        <v>44</v>
      </c>
      <c r="C46" s="90" t="s">
        <v>77</v>
      </c>
      <c r="D46" s="90">
        <v>123</v>
      </c>
      <c r="E46" s="90" t="s">
        <v>78</v>
      </c>
      <c r="F46" s="90" t="s">
        <v>52</v>
      </c>
      <c r="G46" s="90" t="s">
        <v>52</v>
      </c>
      <c r="H46" s="90" t="s">
        <v>79</v>
      </c>
      <c r="I46" s="151"/>
    </row>
    <row r="47" spans="1:9" ht="14.25" customHeight="1">
      <c r="A47" s="90" t="s">
        <v>45</v>
      </c>
      <c r="B47" s="90" t="s">
        <v>44</v>
      </c>
      <c r="C47" s="90" t="s">
        <v>80</v>
      </c>
      <c r="D47" s="90">
        <v>4460</v>
      </c>
      <c r="E47" s="90" t="s">
        <v>81</v>
      </c>
      <c r="F47" s="90" t="s">
        <v>52</v>
      </c>
      <c r="G47" s="90" t="s">
        <v>52</v>
      </c>
      <c r="H47" s="90" t="s">
        <v>79</v>
      </c>
      <c r="I47" s="151"/>
    </row>
    <row r="48" spans="1:9" ht="14.25" customHeight="1">
      <c r="A48" s="90" t="s">
        <v>45</v>
      </c>
      <c r="B48" s="90" t="s">
        <v>44</v>
      </c>
      <c r="C48" s="90" t="s">
        <v>82</v>
      </c>
      <c r="D48" s="90">
        <v>514</v>
      </c>
      <c r="E48" s="90" t="s">
        <v>83</v>
      </c>
      <c r="F48" s="90" t="s">
        <v>52</v>
      </c>
      <c r="G48" s="90" t="s">
        <v>52</v>
      </c>
      <c r="H48" s="90" t="s">
        <v>55</v>
      </c>
      <c r="I48" s="151"/>
    </row>
    <row r="49" spans="1:3" ht="14.25" customHeight="1">
      <c r="A49" s="167" t="s">
        <v>84</v>
      </c>
      <c r="B49" s="168"/>
      <c r="C49" s="168"/>
    </row>
    <row r="50" spans="1:3" ht="21.75" customHeight="1">
      <c r="A50" s="91" t="s">
        <v>85</v>
      </c>
      <c r="B50" s="92" t="s">
        <v>86</v>
      </c>
      <c r="C50" s="93"/>
    </row>
    <row r="51" spans="1:3" ht="14.25" customHeight="1">
      <c r="A51" s="94" t="s">
        <v>87</v>
      </c>
      <c r="B51" s="95" t="s">
        <v>88</v>
      </c>
      <c r="C51" s="96"/>
    </row>
    <row r="52" spans="1:3" ht="14.25" customHeight="1">
      <c r="A52" s="94" t="s">
        <v>87</v>
      </c>
      <c r="B52" s="95" t="s">
        <v>88</v>
      </c>
      <c r="C52" s="96"/>
    </row>
    <row r="53" spans="1:3" ht="14.25" customHeight="1">
      <c r="A53" s="94" t="s">
        <v>87</v>
      </c>
      <c r="B53" s="95" t="s">
        <v>88</v>
      </c>
      <c r="C53" s="96"/>
    </row>
    <row r="54" spans="1:3" ht="14.25" customHeight="1">
      <c r="A54" s="94" t="s">
        <v>87</v>
      </c>
      <c r="B54" s="95" t="s">
        <v>88</v>
      </c>
      <c r="C54" s="96"/>
    </row>
    <row r="55" spans="1:3" ht="14.25" customHeight="1">
      <c r="A55" s="94" t="s">
        <v>87</v>
      </c>
      <c r="B55" s="95" t="s">
        <v>88</v>
      </c>
      <c r="C55" s="96"/>
    </row>
    <row r="56" spans="1:3" ht="27.75" customHeight="1">
      <c r="A56" s="95" t="s">
        <v>89</v>
      </c>
      <c r="B56" s="95" t="s">
        <v>90</v>
      </c>
      <c r="C56" s="96"/>
    </row>
    <row r="57" spans="1:3" ht="27.75" customHeight="1">
      <c r="A57" s="95" t="s">
        <v>89</v>
      </c>
      <c r="B57" s="95" t="s">
        <v>90</v>
      </c>
      <c r="C57" s="96"/>
    </row>
    <row r="58" spans="1:3" ht="27.75" customHeight="1">
      <c r="A58" s="97" t="s">
        <v>89</v>
      </c>
      <c r="B58" s="95" t="s">
        <v>90</v>
      </c>
      <c r="C58" s="96"/>
    </row>
    <row r="59" spans="1:3" ht="41.25" customHeight="1">
      <c r="A59" s="94" t="s">
        <v>91</v>
      </c>
      <c r="B59" s="97" t="s">
        <v>92</v>
      </c>
      <c r="C59" s="96"/>
    </row>
    <row r="60" spans="1:3" ht="14.25" customHeight="1">
      <c r="A60" s="95" t="s">
        <v>93</v>
      </c>
      <c r="B60" s="95" t="s">
        <v>94</v>
      </c>
      <c r="C60" s="96"/>
    </row>
    <row r="61" spans="1:3" ht="14.25" customHeight="1">
      <c r="A61" s="95" t="s">
        <v>93</v>
      </c>
      <c r="B61" s="95" t="s">
        <v>95</v>
      </c>
      <c r="C61" s="96"/>
    </row>
    <row r="62" spans="1:3" ht="14.25" customHeight="1">
      <c r="A62" s="95" t="s">
        <v>93</v>
      </c>
      <c r="B62" s="95" t="s">
        <v>95</v>
      </c>
      <c r="C62" s="96"/>
    </row>
    <row r="63" spans="1:3" ht="27.75" customHeight="1">
      <c r="A63" s="97" t="s">
        <v>96</v>
      </c>
      <c r="B63" s="95" t="s">
        <v>97</v>
      </c>
      <c r="C63" s="96"/>
    </row>
    <row r="64" spans="1:3" ht="54.75" customHeight="1">
      <c r="A64" s="97" t="s">
        <v>98</v>
      </c>
      <c r="B64" s="97" t="s">
        <v>99</v>
      </c>
      <c r="C64" s="96"/>
    </row>
    <row r="65" spans="1:3" ht="41.25" customHeight="1">
      <c r="A65" s="97" t="s">
        <v>100</v>
      </c>
      <c r="B65" s="98" t="s">
        <v>101</v>
      </c>
      <c r="C65" s="96"/>
    </row>
    <row r="66" spans="1:3" ht="41.25" customHeight="1">
      <c r="A66" s="95" t="s">
        <v>100</v>
      </c>
      <c r="B66" s="95" t="s">
        <v>102</v>
      </c>
      <c r="C66" s="96"/>
    </row>
    <row r="67" spans="1:3" ht="27.75" customHeight="1">
      <c r="A67" s="95" t="s">
        <v>100</v>
      </c>
      <c r="B67" s="95" t="s">
        <v>103</v>
      </c>
      <c r="C67" s="96"/>
    </row>
    <row r="68" spans="1:3" ht="27.75" customHeight="1">
      <c r="A68" s="95" t="s">
        <v>100</v>
      </c>
      <c r="B68" s="95" t="s">
        <v>103</v>
      </c>
      <c r="C68" s="96"/>
    </row>
    <row r="69" spans="1:3" ht="41.25" customHeight="1">
      <c r="A69" s="97" t="s">
        <v>100</v>
      </c>
      <c r="B69" s="98" t="s">
        <v>104</v>
      </c>
      <c r="C69" s="96"/>
    </row>
    <row r="70" spans="1:3" ht="41.25" customHeight="1">
      <c r="A70" s="95" t="s">
        <v>100</v>
      </c>
      <c r="B70" s="95" t="s">
        <v>1539</v>
      </c>
      <c r="C70" s="96"/>
    </row>
    <row r="71" spans="1:3" ht="27.75" customHeight="1">
      <c r="A71" s="95" t="s">
        <v>100</v>
      </c>
      <c r="B71" s="95" t="s">
        <v>106</v>
      </c>
      <c r="C71" s="96"/>
    </row>
    <row r="72" spans="1:3" ht="27.75" customHeight="1">
      <c r="A72" s="95" t="s">
        <v>100</v>
      </c>
      <c r="B72" s="95" t="s">
        <v>107</v>
      </c>
      <c r="C72" s="96"/>
    </row>
    <row r="73" spans="1:3" ht="27.75" customHeight="1">
      <c r="A73" s="97" t="s">
        <v>108</v>
      </c>
      <c r="B73" s="95" t="s">
        <v>107</v>
      </c>
      <c r="C73" s="96"/>
    </row>
    <row r="74" spans="1:3" ht="27.75" customHeight="1">
      <c r="A74" s="95" t="s">
        <v>108</v>
      </c>
      <c r="B74" s="95" t="s">
        <v>1540</v>
      </c>
      <c r="C74" s="96"/>
    </row>
    <row r="75" spans="1:3" ht="54.75" customHeight="1">
      <c r="A75" s="95" t="s">
        <v>110</v>
      </c>
      <c r="B75" s="95" t="s">
        <v>111</v>
      </c>
      <c r="C75" s="96"/>
    </row>
    <row r="76" spans="1:3" ht="41.25" customHeight="1">
      <c r="A76" s="95" t="s">
        <v>112</v>
      </c>
      <c r="B76" s="95" t="s">
        <v>113</v>
      </c>
      <c r="C76" s="96"/>
    </row>
    <row r="77" spans="1:3" ht="27.75" customHeight="1">
      <c r="A77" s="94" t="s">
        <v>114</v>
      </c>
      <c r="B77" s="97" t="s">
        <v>115</v>
      </c>
      <c r="C77" s="96"/>
    </row>
    <row r="78" spans="1:3" ht="27.75" customHeight="1">
      <c r="A78" s="95" t="s">
        <v>116</v>
      </c>
      <c r="B78" s="95" t="s">
        <v>117</v>
      </c>
      <c r="C78" s="96"/>
    </row>
    <row r="79" spans="1:3" ht="27.75" customHeight="1">
      <c r="A79" s="94" t="s">
        <v>118</v>
      </c>
      <c r="B79" s="97" t="s">
        <v>119</v>
      </c>
      <c r="C79" s="96"/>
    </row>
    <row r="80" spans="1:3" ht="27.75" customHeight="1">
      <c r="A80" s="97" t="s">
        <v>120</v>
      </c>
      <c r="B80" s="95" t="s">
        <v>121</v>
      </c>
      <c r="C80" s="96"/>
    </row>
    <row r="81" spans="1:3" ht="54.75" customHeight="1">
      <c r="A81" s="95" t="s">
        <v>122</v>
      </c>
      <c r="B81" s="95" t="s">
        <v>123</v>
      </c>
      <c r="C81" s="96"/>
    </row>
    <row r="82" spans="1:3" ht="54.75" customHeight="1">
      <c r="A82" s="94" t="s">
        <v>122</v>
      </c>
      <c r="B82" s="97" t="s">
        <v>123</v>
      </c>
      <c r="C82" s="96"/>
    </row>
    <row r="83" spans="1:3" ht="54.75" customHeight="1">
      <c r="A83" s="97" t="s">
        <v>124</v>
      </c>
      <c r="B83" s="97" t="s">
        <v>125</v>
      </c>
      <c r="C83" s="96"/>
    </row>
    <row r="84" spans="1:3" ht="54.75" customHeight="1">
      <c r="A84" s="97" t="s">
        <v>124</v>
      </c>
      <c r="B84" s="97" t="s">
        <v>125</v>
      </c>
      <c r="C84" s="96"/>
    </row>
    <row r="85" spans="1:3" ht="54.75" customHeight="1">
      <c r="A85" s="97" t="s">
        <v>124</v>
      </c>
      <c r="B85" s="97" t="s">
        <v>125</v>
      </c>
      <c r="C85" s="96"/>
    </row>
    <row r="86" spans="1:3" ht="54.75" customHeight="1">
      <c r="A86" s="97" t="s">
        <v>124</v>
      </c>
      <c r="B86" s="97" t="s">
        <v>125</v>
      </c>
      <c r="C86" s="96"/>
    </row>
    <row r="87" spans="1:3" ht="41.25" customHeight="1">
      <c r="A87" s="94" t="s">
        <v>126</v>
      </c>
      <c r="B87" s="97" t="s">
        <v>127</v>
      </c>
      <c r="C87" s="96"/>
    </row>
    <row r="88" spans="1:3" ht="54.75" customHeight="1">
      <c r="A88" s="94" t="s">
        <v>128</v>
      </c>
      <c r="B88" s="97" t="s">
        <v>129</v>
      </c>
      <c r="C88" s="96"/>
    </row>
    <row r="89" spans="1:3" ht="41.25" customHeight="1">
      <c r="A89" s="95" t="s">
        <v>130</v>
      </c>
      <c r="B89" s="95" t="s">
        <v>131</v>
      </c>
      <c r="C89" s="96"/>
    </row>
    <row r="90" spans="1:3" ht="41.25" customHeight="1">
      <c r="A90" s="95" t="s">
        <v>130</v>
      </c>
      <c r="B90" s="95" t="s">
        <v>131</v>
      </c>
      <c r="C90" s="96"/>
    </row>
    <row r="91" spans="1:3" ht="41.25" customHeight="1">
      <c r="A91" s="95" t="s">
        <v>132</v>
      </c>
      <c r="B91" s="95" t="s">
        <v>133</v>
      </c>
      <c r="C91" s="96"/>
    </row>
    <row r="92" spans="1:3" ht="41.25" customHeight="1">
      <c r="A92" s="95" t="s">
        <v>132</v>
      </c>
      <c r="B92" s="95" t="s">
        <v>134</v>
      </c>
      <c r="C92" s="96"/>
    </row>
    <row r="93" spans="1:3" ht="27.75" customHeight="1">
      <c r="A93" s="95" t="s">
        <v>135</v>
      </c>
      <c r="B93" s="95" t="s">
        <v>135</v>
      </c>
      <c r="C93" s="96"/>
    </row>
    <row r="94" spans="1:3" ht="27.75" customHeight="1">
      <c r="A94" s="95" t="s">
        <v>136</v>
      </c>
      <c r="B94" s="95" t="s">
        <v>136</v>
      </c>
      <c r="C94" s="96"/>
    </row>
    <row r="95" spans="1:3" ht="27.75" customHeight="1">
      <c r="A95" s="99" t="s">
        <v>137</v>
      </c>
      <c r="B95" s="99" t="s">
        <v>135</v>
      </c>
      <c r="C95" s="96"/>
    </row>
    <row r="96" spans="1:3" ht="27.75" customHeight="1">
      <c r="A96" s="99" t="s">
        <v>138</v>
      </c>
      <c r="B96" s="99" t="s">
        <v>139</v>
      </c>
      <c r="C96" s="96"/>
    </row>
    <row r="97" spans="1:4" ht="14.25" customHeight="1">
      <c r="A97" s="174" t="s">
        <v>1297</v>
      </c>
      <c r="B97" s="175"/>
      <c r="C97" s="176"/>
    </row>
    <row r="98" spans="1:4" ht="14.25" customHeight="1">
      <c r="A98" s="86" t="s">
        <v>45</v>
      </c>
      <c r="B98" s="100"/>
      <c r="C98" s="100"/>
    </row>
    <row r="99" spans="1:4" ht="14.25" customHeight="1">
      <c r="A99" s="85" t="s">
        <v>140</v>
      </c>
      <c r="B99" s="100"/>
      <c r="C99" s="100"/>
    </row>
    <row r="100" spans="1:4" ht="14.25" customHeight="1">
      <c r="A100" s="85" t="s">
        <v>141</v>
      </c>
      <c r="B100" s="100"/>
      <c r="C100" s="100"/>
    </row>
    <row r="101" spans="1:4" ht="14.25" customHeight="1">
      <c r="A101" s="85" t="s">
        <v>142</v>
      </c>
      <c r="B101" s="100"/>
      <c r="C101" s="101"/>
    </row>
    <row r="102" spans="1:4" ht="14.25" customHeight="1">
      <c r="A102" s="86" t="s">
        <v>143</v>
      </c>
      <c r="B102" s="100"/>
      <c r="C102" s="100"/>
    </row>
    <row r="103" spans="1:4" ht="14.25" customHeight="1">
      <c r="A103" s="86" t="s">
        <v>144</v>
      </c>
      <c r="B103" s="100"/>
      <c r="C103" s="100"/>
    </row>
    <row r="104" spans="1:4" ht="13.9" customHeight="1">
      <c r="A104" s="171" t="s">
        <v>1334</v>
      </c>
      <c r="B104" s="172"/>
      <c r="C104" s="172"/>
    </row>
    <row r="105" spans="1:4" ht="13.9" customHeight="1" thickBot="1">
      <c r="A105" s="105" t="s">
        <v>1298</v>
      </c>
      <c r="B105" s="106"/>
      <c r="C105" s="106"/>
      <c r="D105" s="106"/>
    </row>
    <row r="106" spans="1:4" ht="13.9" customHeight="1" thickBot="1">
      <c r="A106" s="107" t="s">
        <v>1299</v>
      </c>
      <c r="B106" s="108" t="s">
        <v>1300</v>
      </c>
      <c r="C106" s="108" t="s">
        <v>1301</v>
      </c>
      <c r="D106" s="108" t="s">
        <v>1302</v>
      </c>
    </row>
    <row r="107" spans="1:4" ht="25.9" thickBot="1">
      <c r="A107" s="112" t="s">
        <v>1303</v>
      </c>
      <c r="B107" s="113" t="s">
        <v>1304</v>
      </c>
      <c r="C107" s="113" t="s">
        <v>1305</v>
      </c>
      <c r="D107" s="109" t="s">
        <v>1306</v>
      </c>
    </row>
    <row r="108" spans="1:4" ht="13.9" customHeight="1" thickBot="1">
      <c r="A108" s="112" t="s">
        <v>1307</v>
      </c>
      <c r="B108" s="113" t="s">
        <v>1308</v>
      </c>
      <c r="C108" s="113" t="s">
        <v>1309</v>
      </c>
      <c r="D108" s="109" t="s">
        <v>1306</v>
      </c>
    </row>
    <row r="109" spans="1:4" ht="13.9" customHeight="1" thickBot="1">
      <c r="A109" s="112" t="s">
        <v>1310</v>
      </c>
      <c r="B109" s="113" t="s">
        <v>1306</v>
      </c>
      <c r="C109" s="113" t="s">
        <v>1311</v>
      </c>
      <c r="D109" s="109" t="s">
        <v>1306</v>
      </c>
    </row>
    <row r="110" spans="1:4" ht="13.9" customHeight="1" thickBot="1">
      <c r="A110" s="112" t="s">
        <v>1312</v>
      </c>
      <c r="B110" s="113" t="s">
        <v>1306</v>
      </c>
      <c r="C110" s="113" t="s">
        <v>1313</v>
      </c>
      <c r="D110" s="109" t="s">
        <v>1306</v>
      </c>
    </row>
    <row r="111" spans="1:4" ht="13.9" customHeight="1" thickBot="1">
      <c r="A111" s="112" t="s">
        <v>1314</v>
      </c>
      <c r="B111" s="113" t="s">
        <v>1306</v>
      </c>
      <c r="C111" s="113" t="s">
        <v>1315</v>
      </c>
      <c r="D111" s="109" t="s">
        <v>1306</v>
      </c>
    </row>
    <row r="112" spans="1:4" ht="13.9" customHeight="1" thickBot="1">
      <c r="A112" s="112" t="s">
        <v>1316</v>
      </c>
      <c r="B112" s="113" t="s">
        <v>1306</v>
      </c>
      <c r="C112" s="113" t="s">
        <v>1317</v>
      </c>
      <c r="D112" s="109" t="s">
        <v>1306</v>
      </c>
    </row>
    <row r="113" spans="1:4" ht="13.9" customHeight="1">
      <c r="A113" s="106"/>
      <c r="B113" s="106"/>
      <c r="C113" s="106"/>
      <c r="D113" s="106"/>
    </row>
    <row r="114" spans="1:4" ht="13.9" customHeight="1" thickBot="1">
      <c r="A114" s="110" t="s">
        <v>1318</v>
      </c>
      <c r="B114" s="106"/>
      <c r="C114" s="106"/>
      <c r="D114" s="106"/>
    </row>
    <row r="115" spans="1:4" ht="13.9" customHeight="1" thickBot="1">
      <c r="A115" s="107" t="s">
        <v>1299</v>
      </c>
      <c r="B115" s="108" t="s">
        <v>1300</v>
      </c>
      <c r="C115" s="108" t="s">
        <v>1301</v>
      </c>
      <c r="D115" s="108" t="s">
        <v>1302</v>
      </c>
    </row>
    <row r="116" spans="1:4" ht="13.9" customHeight="1" thickBot="1">
      <c r="A116" s="114" t="s">
        <v>1319</v>
      </c>
      <c r="B116" s="115" t="s">
        <v>1308</v>
      </c>
      <c r="C116" s="115" t="s">
        <v>1309</v>
      </c>
      <c r="D116" s="111" t="s">
        <v>1306</v>
      </c>
    </row>
    <row r="117" spans="1:4" ht="13.9" customHeight="1" thickBot="1">
      <c r="A117" s="114" t="s">
        <v>1320</v>
      </c>
      <c r="B117" s="115">
        <v>4.1900000000000004</v>
      </c>
      <c r="C117" s="115" t="s">
        <v>1321</v>
      </c>
      <c r="D117" s="111" t="s">
        <v>1306</v>
      </c>
    </row>
    <row r="118" spans="1:4" ht="13.9" customHeight="1" thickBot="1">
      <c r="A118" s="114" t="s">
        <v>1322</v>
      </c>
      <c r="B118" s="115">
        <v>2019.01</v>
      </c>
      <c r="C118" s="115" t="s">
        <v>1323</v>
      </c>
      <c r="D118" s="111" t="s">
        <v>1306</v>
      </c>
    </row>
    <row r="119" spans="1:4" ht="13.9" customHeight="1" thickBot="1">
      <c r="A119" s="114" t="s">
        <v>1324</v>
      </c>
      <c r="B119" s="115" t="s">
        <v>1325</v>
      </c>
      <c r="C119" s="115" t="s">
        <v>1326</v>
      </c>
      <c r="D119" s="111" t="s">
        <v>1306</v>
      </c>
    </row>
    <row r="120" spans="1:4" ht="13.9" customHeight="1" thickBot="1">
      <c r="A120" s="114" t="s">
        <v>1327</v>
      </c>
      <c r="B120" s="115" t="s">
        <v>1306</v>
      </c>
      <c r="C120" s="115" t="s">
        <v>1313</v>
      </c>
      <c r="D120" s="111" t="s">
        <v>1306</v>
      </c>
    </row>
    <row r="121" spans="1:4" ht="13.9" customHeight="1" thickBot="1">
      <c r="A121" s="114" t="s">
        <v>1328</v>
      </c>
      <c r="B121" s="115" t="s">
        <v>1306</v>
      </c>
      <c r="C121" s="115" t="s">
        <v>1329</v>
      </c>
      <c r="D121" s="111" t="s">
        <v>1306</v>
      </c>
    </row>
  </sheetData>
  <mergeCells count="18">
    <mergeCell ref="B2:C2"/>
    <mergeCell ref="A49:C49"/>
    <mergeCell ref="A31:C31"/>
    <mergeCell ref="A1:C1"/>
    <mergeCell ref="A104:C104"/>
    <mergeCell ref="B9:C9"/>
    <mergeCell ref="A97:C97"/>
    <mergeCell ref="I33:I48"/>
    <mergeCell ref="B6:C6"/>
    <mergeCell ref="B3:C3"/>
    <mergeCell ref="A11:C19"/>
    <mergeCell ref="A10:C10"/>
    <mergeCell ref="A20:C20"/>
    <mergeCell ref="A21:C30"/>
    <mergeCell ref="B4:C4"/>
    <mergeCell ref="B5:C5"/>
    <mergeCell ref="B8:C8"/>
    <mergeCell ref="B7:C7"/>
  </mergeCells>
  <phoneticPr fontId="1"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5C767-A542-423C-85C0-DD50EE4A0BE5}">
  <sheetPr>
    <outlinePr summaryBelow="0" summaryRight="0"/>
  </sheetPr>
  <dimension ref="A1:AT51"/>
  <sheetViews>
    <sheetView topLeftCell="AI1" zoomScale="85" zoomScaleNormal="85" workbookViewId="0">
      <pane ySplit="2" topLeftCell="A3" activePane="bottomLeft" state="frozen"/>
      <selection pane="bottomLeft" activeCell="AD29" sqref="AD29"/>
    </sheetView>
  </sheetViews>
  <sheetFormatPr defaultColWidth="9" defaultRowHeight="14.25" customHeight="1"/>
  <cols>
    <col min="1" max="2" width="21.17578125" style="22" customWidth="1"/>
    <col min="3" max="3" width="23.3515625" style="22" customWidth="1"/>
    <col min="4" max="4" width="8.3515625" style="22" customWidth="1"/>
    <col min="5" max="5" width="7.8203125" style="22" customWidth="1"/>
    <col min="6" max="6" width="6.5859375" style="22" customWidth="1"/>
    <col min="7" max="7" width="13.46875" style="22" customWidth="1"/>
    <col min="8" max="8" width="8.17578125" style="22" customWidth="1"/>
    <col min="9" max="9" width="11.3515625" style="22" customWidth="1"/>
    <col min="10" max="10" width="9.46875" style="22" customWidth="1"/>
    <col min="11" max="11" width="41" style="22" customWidth="1"/>
    <col min="12" max="12" width="30.3515625" style="22" customWidth="1"/>
    <col min="13" max="13" width="31.8203125" style="22" customWidth="1"/>
    <col min="14" max="14" width="18.17578125" style="22" customWidth="1"/>
    <col min="15" max="15" width="5.5859375" style="22" customWidth="1"/>
    <col min="16" max="16" width="25.8203125" style="22" customWidth="1"/>
    <col min="17" max="17" width="5.5859375" style="22" customWidth="1"/>
    <col min="18" max="18" width="19.46875" style="22" customWidth="1"/>
    <col min="19" max="19" width="5.5859375" style="22" customWidth="1"/>
    <col min="20" max="20" width="26.3515625" style="22" customWidth="1"/>
    <col min="21" max="21" width="5.5859375" style="22" customWidth="1"/>
    <col min="22" max="22" width="19.3515625" style="22" customWidth="1"/>
    <col min="23" max="23" width="5.5859375" style="22" customWidth="1"/>
    <col min="24" max="24" width="22.8203125" style="22" customWidth="1"/>
    <col min="25" max="27" width="5.5859375" style="22" customWidth="1"/>
    <col min="28" max="28" width="12.8203125" style="22" customWidth="1"/>
    <col min="29" max="29" width="19.17578125" style="22" customWidth="1"/>
    <col min="30" max="30" width="75.9375" style="22" customWidth="1"/>
    <col min="31" max="31" width="5.5859375" style="22" customWidth="1"/>
    <col min="32" max="32" width="19.46875" style="22" customWidth="1"/>
    <col min="33" max="33" width="5.5859375" style="22" customWidth="1"/>
    <col min="34" max="34" width="21.17578125" style="22" customWidth="1"/>
    <col min="35" max="35" width="5.5859375" style="22" customWidth="1"/>
    <col min="36" max="36" width="18.5859375" style="22" customWidth="1"/>
    <col min="37" max="37" width="5.5859375" style="22" customWidth="1"/>
    <col min="38" max="38" width="22.17578125" style="22" customWidth="1"/>
    <col min="39" max="39" width="5.5859375" style="22" customWidth="1"/>
    <col min="40" max="40" width="18.5859375" style="22" customWidth="1"/>
    <col min="41" max="43" width="5.5859375" style="22" customWidth="1"/>
    <col min="44" max="44" width="16.5859375" style="22" customWidth="1"/>
    <col min="45" max="45" width="69.3515625" style="22" customWidth="1"/>
    <col min="46" max="46" width="18.3515625" style="22" customWidth="1"/>
  </cols>
  <sheetData>
    <row r="1" spans="1:46" ht="48.75" customHeight="1">
      <c r="A1" s="177" t="s">
        <v>1469</v>
      </c>
      <c r="B1" s="177"/>
      <c r="C1" s="178"/>
      <c r="D1" s="179" t="s">
        <v>173</v>
      </c>
      <c r="E1" s="179"/>
      <c r="F1" s="179"/>
      <c r="G1" s="179"/>
      <c r="H1" s="179"/>
      <c r="I1" s="180"/>
      <c r="J1" s="181" t="s">
        <v>174</v>
      </c>
      <c r="K1" s="184" t="s">
        <v>175</v>
      </c>
      <c r="L1" s="181" t="s">
        <v>176</v>
      </c>
      <c r="M1" s="181" t="s">
        <v>177</v>
      </c>
      <c r="N1" s="181" t="s">
        <v>178</v>
      </c>
      <c r="O1" s="179" t="s">
        <v>179</v>
      </c>
      <c r="P1" s="179"/>
      <c r="Q1" s="179"/>
      <c r="R1" s="179"/>
      <c r="S1" s="179"/>
      <c r="T1" s="179"/>
      <c r="U1" s="179"/>
      <c r="V1" s="179"/>
      <c r="W1" s="179"/>
      <c r="X1" s="179"/>
      <c r="Y1" s="179"/>
      <c r="Z1" s="179"/>
      <c r="AA1" s="180"/>
      <c r="AB1" s="181" t="s">
        <v>180</v>
      </c>
      <c r="AC1" s="181" t="s">
        <v>183</v>
      </c>
      <c r="AD1" s="181" t="s">
        <v>185</v>
      </c>
      <c r="AE1" s="179" t="s">
        <v>186</v>
      </c>
      <c r="AF1" s="179"/>
      <c r="AG1" s="179"/>
      <c r="AH1" s="179"/>
      <c r="AI1" s="179"/>
      <c r="AJ1" s="179"/>
      <c r="AK1" s="179"/>
      <c r="AL1" s="179"/>
      <c r="AM1" s="179"/>
      <c r="AN1" s="179"/>
      <c r="AO1" s="179"/>
      <c r="AP1" s="179"/>
      <c r="AQ1" s="180"/>
      <c r="AR1" s="181" t="s">
        <v>187</v>
      </c>
      <c r="AS1" s="181" t="s">
        <v>1357</v>
      </c>
      <c r="AT1" s="181" t="s">
        <v>189</v>
      </c>
    </row>
    <row r="2" spans="1:46" ht="113.65" customHeight="1">
      <c r="A2" s="28" t="s">
        <v>85</v>
      </c>
      <c r="B2" s="28" t="s">
        <v>86</v>
      </c>
      <c r="C2" s="28" t="s">
        <v>191</v>
      </c>
      <c r="D2" s="28" t="s">
        <v>192</v>
      </c>
      <c r="E2" s="28" t="s">
        <v>193</v>
      </c>
      <c r="F2" s="28" t="s">
        <v>194</v>
      </c>
      <c r="G2" s="28" t="s">
        <v>195</v>
      </c>
      <c r="H2" s="28" t="s">
        <v>196</v>
      </c>
      <c r="I2" s="28" t="s">
        <v>197</v>
      </c>
      <c r="J2" s="182"/>
      <c r="K2" s="185"/>
      <c r="L2" s="182"/>
      <c r="M2" s="182"/>
      <c r="N2" s="182"/>
      <c r="O2" s="28" t="s">
        <v>198</v>
      </c>
      <c r="P2" s="28" t="s">
        <v>199</v>
      </c>
      <c r="Q2" s="28" t="s">
        <v>200</v>
      </c>
      <c r="R2" s="28" t="s">
        <v>199</v>
      </c>
      <c r="S2" s="28" t="s">
        <v>201</v>
      </c>
      <c r="T2" s="28" t="s">
        <v>199</v>
      </c>
      <c r="U2" s="28" t="s">
        <v>202</v>
      </c>
      <c r="V2" s="28" t="s">
        <v>199</v>
      </c>
      <c r="W2" s="28" t="s">
        <v>203</v>
      </c>
      <c r="X2" s="28" t="s">
        <v>199</v>
      </c>
      <c r="Y2" s="28" t="s">
        <v>204</v>
      </c>
      <c r="Z2" s="28" t="s">
        <v>205</v>
      </c>
      <c r="AA2" s="28" t="s">
        <v>206</v>
      </c>
      <c r="AB2" s="182"/>
      <c r="AC2" s="182"/>
      <c r="AD2" s="183"/>
      <c r="AE2" s="28" t="s">
        <v>198</v>
      </c>
      <c r="AF2" s="28" t="s">
        <v>199</v>
      </c>
      <c r="AG2" s="28" t="s">
        <v>200</v>
      </c>
      <c r="AH2" s="28" t="s">
        <v>199</v>
      </c>
      <c r="AI2" s="28" t="s">
        <v>201</v>
      </c>
      <c r="AJ2" s="28" t="s">
        <v>199</v>
      </c>
      <c r="AK2" s="28" t="s">
        <v>202</v>
      </c>
      <c r="AL2" s="28" t="s">
        <v>199</v>
      </c>
      <c r="AM2" s="28" t="s">
        <v>203</v>
      </c>
      <c r="AN2" s="28" t="s">
        <v>199</v>
      </c>
      <c r="AO2" s="28" t="s">
        <v>204</v>
      </c>
      <c r="AP2" s="28" t="s">
        <v>205</v>
      </c>
      <c r="AQ2" s="28" t="s">
        <v>206</v>
      </c>
      <c r="AR2" s="182"/>
      <c r="AS2" s="182"/>
      <c r="AT2" s="182"/>
    </row>
    <row r="3" spans="1:46" ht="108">
      <c r="A3" s="29" t="s">
        <v>87</v>
      </c>
      <c r="B3" s="30" t="s">
        <v>88</v>
      </c>
      <c r="C3" s="30" t="s">
        <v>207</v>
      </c>
      <c r="D3" s="30" t="s">
        <v>208</v>
      </c>
      <c r="E3" s="30"/>
      <c r="F3" s="30"/>
      <c r="G3" s="30" t="s">
        <v>208</v>
      </c>
      <c r="H3" s="30" t="s">
        <v>208</v>
      </c>
      <c r="I3" s="30" t="s">
        <v>208</v>
      </c>
      <c r="J3" s="30" t="s">
        <v>209</v>
      </c>
      <c r="K3" s="30" t="s">
        <v>1675</v>
      </c>
      <c r="L3" s="30" t="s">
        <v>210</v>
      </c>
      <c r="M3" s="30" t="s">
        <v>211</v>
      </c>
      <c r="N3" s="30" t="s">
        <v>212</v>
      </c>
      <c r="O3" s="30">
        <v>3</v>
      </c>
      <c r="P3" s="30" t="s">
        <v>213</v>
      </c>
      <c r="Q3" s="30">
        <v>2</v>
      </c>
      <c r="R3" s="30" t="s">
        <v>214</v>
      </c>
      <c r="S3" s="30">
        <v>2</v>
      </c>
      <c r="T3" s="30" t="s">
        <v>215</v>
      </c>
      <c r="U3" s="30">
        <v>1</v>
      </c>
      <c r="V3" s="30" t="s">
        <v>216</v>
      </c>
      <c r="W3" s="30">
        <v>2</v>
      </c>
      <c r="X3" s="30" t="s">
        <v>217</v>
      </c>
      <c r="Y3" s="30">
        <f t="shared" ref="Y3:Y10" si="0">S3+Q3+W3</f>
        <v>6</v>
      </c>
      <c r="Z3" s="30">
        <f t="shared" ref="Z3:Z10" si="1">O3+U3</f>
        <v>4</v>
      </c>
      <c r="AA3" s="30">
        <f t="shared" ref="AA3:AA10" si="2">Y3*Z3</f>
        <v>24</v>
      </c>
      <c r="AB3" s="30" t="s">
        <v>218</v>
      </c>
      <c r="AC3" s="30" t="s">
        <v>220</v>
      </c>
      <c r="AD3" s="30" t="s">
        <v>1462</v>
      </c>
      <c r="AE3" s="30">
        <v>2</v>
      </c>
      <c r="AF3" s="30" t="s">
        <v>221</v>
      </c>
      <c r="AG3" s="30">
        <v>2</v>
      </c>
      <c r="AH3" s="30" t="s">
        <v>222</v>
      </c>
      <c r="AI3" s="30">
        <v>1</v>
      </c>
      <c r="AJ3" s="30" t="s">
        <v>223</v>
      </c>
      <c r="AK3" s="30">
        <v>1</v>
      </c>
      <c r="AL3" s="30" t="s">
        <v>224</v>
      </c>
      <c r="AM3" s="30">
        <v>1</v>
      </c>
      <c r="AN3" s="30" t="s">
        <v>225</v>
      </c>
      <c r="AO3" s="30">
        <f>AG3+AI3+AM3</f>
        <v>4</v>
      </c>
      <c r="AP3" s="30">
        <f>AE3+AK3</f>
        <v>3</v>
      </c>
      <c r="AQ3" s="30">
        <f>AO3*AP3</f>
        <v>12</v>
      </c>
      <c r="AR3" s="30" t="s">
        <v>226</v>
      </c>
      <c r="AS3" s="30" t="s">
        <v>1358</v>
      </c>
      <c r="AT3" s="30" t="s">
        <v>227</v>
      </c>
    </row>
    <row r="4" spans="1:46" ht="95.25" customHeight="1">
      <c r="A4" s="29" t="s">
        <v>87</v>
      </c>
      <c r="B4" s="30" t="s">
        <v>88</v>
      </c>
      <c r="C4" s="30" t="s">
        <v>1536</v>
      </c>
      <c r="D4" s="30" t="s">
        <v>208</v>
      </c>
      <c r="E4" s="30"/>
      <c r="F4" s="30"/>
      <c r="G4" s="30" t="s">
        <v>208</v>
      </c>
      <c r="H4" s="30" t="s">
        <v>208</v>
      </c>
      <c r="I4" s="30" t="s">
        <v>208</v>
      </c>
      <c r="J4" s="30" t="s">
        <v>209</v>
      </c>
      <c r="K4" s="30" t="s">
        <v>1676</v>
      </c>
      <c r="L4" s="30" t="s">
        <v>229</v>
      </c>
      <c r="M4" s="30" t="s">
        <v>230</v>
      </c>
      <c r="N4" s="30" t="s">
        <v>212</v>
      </c>
      <c r="O4" s="30">
        <v>3</v>
      </c>
      <c r="P4" s="30" t="s">
        <v>213</v>
      </c>
      <c r="Q4" s="30">
        <v>1</v>
      </c>
      <c r="R4" s="30" t="s">
        <v>231</v>
      </c>
      <c r="S4" s="30">
        <v>1</v>
      </c>
      <c r="T4" s="30" t="s">
        <v>232</v>
      </c>
      <c r="U4" s="30">
        <v>1</v>
      </c>
      <c r="V4" s="30" t="s">
        <v>233</v>
      </c>
      <c r="W4" s="30">
        <v>2</v>
      </c>
      <c r="X4" s="30" t="s">
        <v>234</v>
      </c>
      <c r="Y4" s="30">
        <f t="shared" si="0"/>
        <v>4</v>
      </c>
      <c r="Z4" s="30">
        <f t="shared" si="1"/>
        <v>4</v>
      </c>
      <c r="AA4" s="30">
        <f t="shared" si="2"/>
        <v>16</v>
      </c>
      <c r="AB4" s="30" t="s">
        <v>226</v>
      </c>
      <c r="AC4" s="30" t="s">
        <v>1460</v>
      </c>
      <c r="AD4" s="30"/>
      <c r="AE4" s="30"/>
      <c r="AF4" s="30"/>
      <c r="AG4" s="30"/>
      <c r="AH4" s="30"/>
      <c r="AI4" s="30"/>
      <c r="AJ4" s="30"/>
      <c r="AK4" s="30"/>
      <c r="AL4" s="30"/>
      <c r="AM4" s="30"/>
      <c r="AN4" s="30"/>
      <c r="AO4" s="30"/>
      <c r="AP4" s="30"/>
      <c r="AQ4" s="30"/>
      <c r="AR4" s="30"/>
      <c r="AS4" s="30" t="s">
        <v>1358</v>
      </c>
      <c r="AT4" s="30" t="s">
        <v>236</v>
      </c>
    </row>
    <row r="5" spans="1:46" ht="101.65" customHeight="1">
      <c r="A5" s="29" t="s">
        <v>87</v>
      </c>
      <c r="B5" s="30" t="s">
        <v>88</v>
      </c>
      <c r="C5" s="30" t="s">
        <v>228</v>
      </c>
      <c r="D5" s="30" t="s">
        <v>208</v>
      </c>
      <c r="E5" s="30"/>
      <c r="F5" s="30"/>
      <c r="G5" s="30" t="s">
        <v>208</v>
      </c>
      <c r="H5" s="30" t="s">
        <v>208</v>
      </c>
      <c r="I5" s="30" t="s">
        <v>208</v>
      </c>
      <c r="J5" s="30" t="s">
        <v>209</v>
      </c>
      <c r="K5" s="30" t="s">
        <v>1677</v>
      </c>
      <c r="L5" s="30" t="s">
        <v>237</v>
      </c>
      <c r="M5" s="30" t="s">
        <v>238</v>
      </c>
      <c r="N5" s="30" t="s">
        <v>239</v>
      </c>
      <c r="O5" s="30">
        <v>3</v>
      </c>
      <c r="P5" s="30" t="s">
        <v>213</v>
      </c>
      <c r="Q5" s="30">
        <v>2</v>
      </c>
      <c r="R5" s="30" t="s">
        <v>240</v>
      </c>
      <c r="S5" s="30">
        <v>2</v>
      </c>
      <c r="T5" s="30" t="s">
        <v>241</v>
      </c>
      <c r="U5" s="30">
        <v>2</v>
      </c>
      <c r="V5" s="30" t="s">
        <v>242</v>
      </c>
      <c r="W5" s="30">
        <v>2</v>
      </c>
      <c r="X5" s="30" t="s">
        <v>243</v>
      </c>
      <c r="Y5" s="30">
        <f t="shared" si="0"/>
        <v>6</v>
      </c>
      <c r="Z5" s="30">
        <f t="shared" si="1"/>
        <v>5</v>
      </c>
      <c r="AA5" s="30">
        <f t="shared" si="2"/>
        <v>30</v>
      </c>
      <c r="AB5" s="30" t="s">
        <v>218</v>
      </c>
      <c r="AC5" s="30" t="s">
        <v>1461</v>
      </c>
      <c r="AD5" s="30" t="s">
        <v>1463</v>
      </c>
      <c r="AE5" s="30">
        <v>2</v>
      </c>
      <c r="AF5" s="30" t="s">
        <v>244</v>
      </c>
      <c r="AG5" s="30">
        <v>1</v>
      </c>
      <c r="AH5" s="30" t="s">
        <v>245</v>
      </c>
      <c r="AI5" s="30">
        <v>2</v>
      </c>
      <c r="AJ5" s="30" t="s">
        <v>246</v>
      </c>
      <c r="AK5" s="30">
        <v>2</v>
      </c>
      <c r="AL5" s="30" t="s">
        <v>247</v>
      </c>
      <c r="AM5" s="30">
        <v>1</v>
      </c>
      <c r="AN5" s="30" t="s">
        <v>248</v>
      </c>
      <c r="AO5" s="30">
        <f>AI5+AG5+AM5</f>
        <v>4</v>
      </c>
      <c r="AP5" s="30">
        <f t="shared" ref="AP5:AP51" si="3">AE5+AK5</f>
        <v>4</v>
      </c>
      <c r="AQ5" s="30">
        <f t="shared" ref="AQ5:AQ51" si="4">AO5*AP5</f>
        <v>16</v>
      </c>
      <c r="AR5" s="30" t="s">
        <v>226</v>
      </c>
      <c r="AS5" s="30" t="s">
        <v>1358</v>
      </c>
      <c r="AT5" s="30" t="s">
        <v>236</v>
      </c>
    </row>
    <row r="6" spans="1:46" ht="90.75" customHeight="1">
      <c r="A6" s="29" t="s">
        <v>87</v>
      </c>
      <c r="B6" s="30" t="s">
        <v>88</v>
      </c>
      <c r="C6" s="30" t="s">
        <v>228</v>
      </c>
      <c r="D6" s="30" t="s">
        <v>208</v>
      </c>
      <c r="E6" s="30"/>
      <c r="F6" s="30"/>
      <c r="G6" s="30" t="s">
        <v>208</v>
      </c>
      <c r="H6" s="30" t="s">
        <v>208</v>
      </c>
      <c r="I6" s="30" t="s">
        <v>208</v>
      </c>
      <c r="J6" s="30" t="s">
        <v>209</v>
      </c>
      <c r="K6" s="30" t="s">
        <v>1678</v>
      </c>
      <c r="L6" s="30" t="s">
        <v>249</v>
      </c>
      <c r="M6" s="30" t="s">
        <v>250</v>
      </c>
      <c r="N6" s="30" t="s">
        <v>251</v>
      </c>
      <c r="O6" s="30">
        <v>3</v>
      </c>
      <c r="P6" s="30" t="s">
        <v>252</v>
      </c>
      <c r="Q6" s="30">
        <v>2</v>
      </c>
      <c r="R6" s="30" t="s">
        <v>253</v>
      </c>
      <c r="S6" s="30">
        <v>1</v>
      </c>
      <c r="T6" s="30" t="s">
        <v>254</v>
      </c>
      <c r="U6" s="30">
        <v>3</v>
      </c>
      <c r="V6" s="30" t="s">
        <v>255</v>
      </c>
      <c r="W6" s="30">
        <v>1</v>
      </c>
      <c r="X6" s="30" t="s">
        <v>256</v>
      </c>
      <c r="Y6" s="30">
        <f t="shared" si="0"/>
        <v>4</v>
      </c>
      <c r="Z6" s="30">
        <f t="shared" si="1"/>
        <v>6</v>
      </c>
      <c r="AA6" s="30">
        <f t="shared" si="2"/>
        <v>24</v>
      </c>
      <c r="AB6" s="30" t="s">
        <v>218</v>
      </c>
      <c r="AC6" s="30" t="s">
        <v>1464</v>
      </c>
      <c r="AD6" s="30" t="s">
        <v>1465</v>
      </c>
      <c r="AE6" s="30">
        <v>2</v>
      </c>
      <c r="AF6" s="30" t="s">
        <v>257</v>
      </c>
      <c r="AG6" s="30">
        <v>1</v>
      </c>
      <c r="AH6" s="30" t="s">
        <v>258</v>
      </c>
      <c r="AI6" s="30">
        <v>1</v>
      </c>
      <c r="AJ6" s="30" t="s">
        <v>259</v>
      </c>
      <c r="AK6" s="30">
        <v>1</v>
      </c>
      <c r="AL6" s="30" t="s">
        <v>260</v>
      </c>
      <c r="AM6" s="30">
        <v>1</v>
      </c>
      <c r="AN6" s="30" t="s">
        <v>261</v>
      </c>
      <c r="AO6" s="30">
        <f t="shared" ref="AO6:AO51" si="5">AG6+AI6+AM6</f>
        <v>3</v>
      </c>
      <c r="AP6" s="30">
        <f t="shared" si="3"/>
        <v>3</v>
      </c>
      <c r="AQ6" s="30">
        <f t="shared" si="4"/>
        <v>9</v>
      </c>
      <c r="AR6" s="30" t="s">
        <v>226</v>
      </c>
      <c r="AS6" s="30" t="s">
        <v>1358</v>
      </c>
      <c r="AT6" s="30" t="s">
        <v>262</v>
      </c>
    </row>
    <row r="7" spans="1:46" ht="108">
      <c r="A7" s="29" t="s">
        <v>87</v>
      </c>
      <c r="B7" s="30" t="s">
        <v>88</v>
      </c>
      <c r="C7" s="30" t="s">
        <v>263</v>
      </c>
      <c r="D7" s="31" t="s">
        <v>208</v>
      </c>
      <c r="E7" s="30"/>
      <c r="F7" s="30"/>
      <c r="G7" s="30" t="s">
        <v>208</v>
      </c>
      <c r="H7" s="30"/>
      <c r="I7" s="30"/>
      <c r="J7" s="30" t="s">
        <v>264</v>
      </c>
      <c r="K7" s="30" t="s">
        <v>1679</v>
      </c>
      <c r="L7" s="30" t="s">
        <v>1535</v>
      </c>
      <c r="M7" s="30" t="s">
        <v>265</v>
      </c>
      <c r="N7" s="30" t="s">
        <v>212</v>
      </c>
      <c r="O7" s="30">
        <v>1</v>
      </c>
      <c r="P7" s="30" t="s">
        <v>266</v>
      </c>
      <c r="Q7" s="30">
        <v>3</v>
      </c>
      <c r="R7" s="30" t="s">
        <v>267</v>
      </c>
      <c r="S7" s="30">
        <v>2</v>
      </c>
      <c r="T7" s="30" t="s">
        <v>268</v>
      </c>
      <c r="U7" s="30">
        <v>2</v>
      </c>
      <c r="V7" s="30" t="s">
        <v>269</v>
      </c>
      <c r="W7" s="30">
        <v>3</v>
      </c>
      <c r="X7" s="30" t="s">
        <v>270</v>
      </c>
      <c r="Y7" s="30">
        <f t="shared" si="0"/>
        <v>8</v>
      </c>
      <c r="Z7" s="30">
        <f t="shared" si="1"/>
        <v>3</v>
      </c>
      <c r="AA7" s="30">
        <f t="shared" si="2"/>
        <v>24</v>
      </c>
      <c r="AB7" s="30" t="s">
        <v>218</v>
      </c>
      <c r="AC7" s="30" t="s">
        <v>271</v>
      </c>
      <c r="AD7" s="30" t="s">
        <v>1466</v>
      </c>
      <c r="AE7" s="30">
        <v>1</v>
      </c>
      <c r="AF7" s="30" t="s">
        <v>272</v>
      </c>
      <c r="AG7" s="30">
        <v>1</v>
      </c>
      <c r="AH7" s="30" t="s">
        <v>273</v>
      </c>
      <c r="AI7" s="30">
        <v>1</v>
      </c>
      <c r="AJ7" s="30" t="s">
        <v>274</v>
      </c>
      <c r="AK7" s="30">
        <v>1</v>
      </c>
      <c r="AL7" s="30" t="s">
        <v>275</v>
      </c>
      <c r="AM7" s="30">
        <v>1</v>
      </c>
      <c r="AN7" s="30" t="s">
        <v>276</v>
      </c>
      <c r="AO7" s="30">
        <f t="shared" si="5"/>
        <v>3</v>
      </c>
      <c r="AP7" s="30">
        <f t="shared" si="3"/>
        <v>2</v>
      </c>
      <c r="AQ7" s="30">
        <f t="shared" si="4"/>
        <v>6</v>
      </c>
      <c r="AR7" s="30" t="s">
        <v>226</v>
      </c>
      <c r="AS7" s="30" t="s">
        <v>1358</v>
      </c>
      <c r="AT7" s="30" t="s">
        <v>277</v>
      </c>
    </row>
    <row r="8" spans="1:46" ht="204" customHeight="1">
      <c r="A8" s="30" t="s">
        <v>89</v>
      </c>
      <c r="B8" s="30" t="s">
        <v>90</v>
      </c>
      <c r="C8" s="30" t="s">
        <v>278</v>
      </c>
      <c r="D8" s="30" t="s">
        <v>208</v>
      </c>
      <c r="E8" s="30" t="s">
        <v>208</v>
      </c>
      <c r="F8" s="30" t="s">
        <v>208</v>
      </c>
      <c r="G8" s="30" t="s">
        <v>208</v>
      </c>
      <c r="H8" s="30" t="s">
        <v>208</v>
      </c>
      <c r="I8" s="30" t="s">
        <v>208</v>
      </c>
      <c r="J8" s="30" t="s">
        <v>279</v>
      </c>
      <c r="K8" s="30" t="s">
        <v>1680</v>
      </c>
      <c r="L8" s="30" t="s">
        <v>280</v>
      </c>
      <c r="M8" s="30" t="s">
        <v>281</v>
      </c>
      <c r="N8" s="30" t="s">
        <v>212</v>
      </c>
      <c r="O8" s="30">
        <v>3</v>
      </c>
      <c r="P8" s="30" t="s">
        <v>282</v>
      </c>
      <c r="Q8" s="30">
        <v>3</v>
      </c>
      <c r="R8" s="30" t="s">
        <v>283</v>
      </c>
      <c r="S8" s="30">
        <v>3</v>
      </c>
      <c r="T8" s="30" t="s">
        <v>284</v>
      </c>
      <c r="U8" s="30">
        <v>3</v>
      </c>
      <c r="V8" s="30" t="s">
        <v>285</v>
      </c>
      <c r="W8" s="30">
        <v>3</v>
      </c>
      <c r="X8" s="30" t="s">
        <v>286</v>
      </c>
      <c r="Y8" s="30">
        <f t="shared" si="0"/>
        <v>9</v>
      </c>
      <c r="Z8" s="30">
        <f t="shared" si="1"/>
        <v>6</v>
      </c>
      <c r="AA8" s="30">
        <f t="shared" si="2"/>
        <v>54</v>
      </c>
      <c r="AB8" s="30" t="s">
        <v>287</v>
      </c>
      <c r="AC8" s="30" t="s">
        <v>271</v>
      </c>
      <c r="AD8" s="30" t="s">
        <v>1467</v>
      </c>
      <c r="AE8" s="30">
        <v>1</v>
      </c>
      <c r="AF8" s="30" t="s">
        <v>288</v>
      </c>
      <c r="AG8" s="30">
        <v>1</v>
      </c>
      <c r="AH8" s="30" t="s">
        <v>289</v>
      </c>
      <c r="AI8" s="30">
        <v>1</v>
      </c>
      <c r="AJ8" s="30" t="s">
        <v>290</v>
      </c>
      <c r="AK8" s="30">
        <v>1</v>
      </c>
      <c r="AL8" s="30" t="s">
        <v>291</v>
      </c>
      <c r="AM8" s="30">
        <v>1</v>
      </c>
      <c r="AN8" s="30" t="s">
        <v>292</v>
      </c>
      <c r="AO8" s="30">
        <f t="shared" si="5"/>
        <v>3</v>
      </c>
      <c r="AP8" s="30">
        <f t="shared" si="3"/>
        <v>2</v>
      </c>
      <c r="AQ8" s="30">
        <f t="shared" si="4"/>
        <v>6</v>
      </c>
      <c r="AR8" s="30" t="s">
        <v>226</v>
      </c>
      <c r="AS8" s="30" t="s">
        <v>1358</v>
      </c>
      <c r="AT8" s="30" t="s">
        <v>293</v>
      </c>
    </row>
    <row r="9" spans="1:46" ht="79.900000000000006" customHeight="1">
      <c r="A9" s="30" t="s">
        <v>89</v>
      </c>
      <c r="B9" s="30" t="s">
        <v>90</v>
      </c>
      <c r="C9" s="30" t="s">
        <v>294</v>
      </c>
      <c r="D9" s="30"/>
      <c r="E9" s="30"/>
      <c r="F9" s="30"/>
      <c r="G9" s="30" t="s">
        <v>208</v>
      </c>
      <c r="H9" s="30" t="s">
        <v>208</v>
      </c>
      <c r="I9" s="30"/>
      <c r="J9" s="30" t="s">
        <v>295</v>
      </c>
      <c r="K9" s="30" t="s">
        <v>1681</v>
      </c>
      <c r="L9" s="30" t="s">
        <v>296</v>
      </c>
      <c r="M9" s="30" t="s">
        <v>297</v>
      </c>
      <c r="N9" s="30" t="s">
        <v>212</v>
      </c>
      <c r="O9" s="30">
        <v>3</v>
      </c>
      <c r="P9" s="30" t="s">
        <v>298</v>
      </c>
      <c r="Q9" s="30">
        <v>1</v>
      </c>
      <c r="R9" s="30" t="s">
        <v>299</v>
      </c>
      <c r="S9" s="30">
        <v>2</v>
      </c>
      <c r="T9" s="30" t="s">
        <v>300</v>
      </c>
      <c r="U9" s="30">
        <v>2</v>
      </c>
      <c r="V9" s="30" t="s">
        <v>301</v>
      </c>
      <c r="W9" s="30">
        <v>3</v>
      </c>
      <c r="X9" s="30" t="s">
        <v>302</v>
      </c>
      <c r="Y9" s="30">
        <f t="shared" si="0"/>
        <v>6</v>
      </c>
      <c r="Z9" s="30">
        <f t="shared" si="1"/>
        <v>5</v>
      </c>
      <c r="AA9" s="30">
        <f t="shared" si="2"/>
        <v>30</v>
      </c>
      <c r="AB9" s="30" t="s">
        <v>218</v>
      </c>
      <c r="AC9" s="30" t="s">
        <v>271</v>
      </c>
      <c r="AD9" s="30" t="s">
        <v>1468</v>
      </c>
      <c r="AE9" s="30">
        <v>1</v>
      </c>
      <c r="AF9" s="30" t="s">
        <v>303</v>
      </c>
      <c r="AG9" s="30">
        <v>1</v>
      </c>
      <c r="AH9" s="30" t="s">
        <v>304</v>
      </c>
      <c r="AI9" s="30">
        <v>1</v>
      </c>
      <c r="AJ9" s="30" t="s">
        <v>305</v>
      </c>
      <c r="AK9" s="30">
        <v>1</v>
      </c>
      <c r="AL9" s="30" t="s">
        <v>306</v>
      </c>
      <c r="AM9" s="30">
        <v>1</v>
      </c>
      <c r="AN9" s="30" t="s">
        <v>307</v>
      </c>
      <c r="AO9" s="30">
        <f t="shared" si="5"/>
        <v>3</v>
      </c>
      <c r="AP9" s="30">
        <f t="shared" si="3"/>
        <v>2</v>
      </c>
      <c r="AQ9" s="30">
        <f t="shared" si="4"/>
        <v>6</v>
      </c>
      <c r="AR9" s="30" t="s">
        <v>226</v>
      </c>
      <c r="AS9" s="30" t="s">
        <v>1358</v>
      </c>
      <c r="AT9" s="30" t="s">
        <v>277</v>
      </c>
    </row>
    <row r="10" spans="1:46" ht="85.9" customHeight="1">
      <c r="A10" s="32" t="s">
        <v>89</v>
      </c>
      <c r="B10" s="30" t="s">
        <v>90</v>
      </c>
      <c r="C10" s="30" t="s">
        <v>294</v>
      </c>
      <c r="D10" s="30"/>
      <c r="E10" s="30"/>
      <c r="F10" s="30"/>
      <c r="G10" s="30" t="s">
        <v>208</v>
      </c>
      <c r="H10" s="30" t="s">
        <v>208</v>
      </c>
      <c r="I10" s="30"/>
      <c r="J10" s="30" t="s">
        <v>295</v>
      </c>
      <c r="K10" s="30" t="s">
        <v>1682</v>
      </c>
      <c r="L10" s="30" t="s">
        <v>308</v>
      </c>
      <c r="M10" s="30" t="s">
        <v>309</v>
      </c>
      <c r="N10" s="30" t="s">
        <v>212</v>
      </c>
      <c r="O10" s="30">
        <v>2</v>
      </c>
      <c r="P10" s="30" t="s">
        <v>310</v>
      </c>
      <c r="Q10" s="30">
        <v>2</v>
      </c>
      <c r="R10" s="30" t="s">
        <v>311</v>
      </c>
      <c r="S10" s="30">
        <v>1</v>
      </c>
      <c r="T10" s="30" t="s">
        <v>312</v>
      </c>
      <c r="U10" s="30">
        <v>2</v>
      </c>
      <c r="V10" s="30" t="s">
        <v>301</v>
      </c>
      <c r="W10" s="30">
        <v>2</v>
      </c>
      <c r="X10" s="30" t="s">
        <v>313</v>
      </c>
      <c r="Y10" s="30">
        <f t="shared" si="0"/>
        <v>5</v>
      </c>
      <c r="Z10" s="30">
        <f t="shared" si="1"/>
        <v>4</v>
      </c>
      <c r="AA10" s="30">
        <f t="shared" si="2"/>
        <v>20</v>
      </c>
      <c r="AB10" s="30" t="s">
        <v>218</v>
      </c>
      <c r="AC10" s="30" t="s">
        <v>271</v>
      </c>
      <c r="AD10" s="30" t="s">
        <v>1470</v>
      </c>
      <c r="AE10" s="30">
        <v>1</v>
      </c>
      <c r="AF10" s="30" t="s">
        <v>314</v>
      </c>
      <c r="AG10" s="30">
        <v>1</v>
      </c>
      <c r="AH10" s="30" t="s">
        <v>304</v>
      </c>
      <c r="AI10" s="30">
        <v>1</v>
      </c>
      <c r="AJ10" s="30" t="s">
        <v>315</v>
      </c>
      <c r="AK10" s="30">
        <v>1</v>
      </c>
      <c r="AL10" s="30" t="s">
        <v>316</v>
      </c>
      <c r="AM10" s="30">
        <v>1</v>
      </c>
      <c r="AN10" s="30" t="s">
        <v>317</v>
      </c>
      <c r="AO10" s="30">
        <f t="shared" si="5"/>
        <v>3</v>
      </c>
      <c r="AP10" s="30">
        <f t="shared" si="3"/>
        <v>2</v>
      </c>
      <c r="AQ10" s="30">
        <f t="shared" si="4"/>
        <v>6</v>
      </c>
      <c r="AR10" s="30" t="s">
        <v>226</v>
      </c>
      <c r="AS10" s="30" t="s">
        <v>1384</v>
      </c>
      <c r="AT10" s="30" t="s">
        <v>277</v>
      </c>
    </row>
    <row r="11" spans="1:46" ht="162">
      <c r="A11" s="29" t="s">
        <v>91</v>
      </c>
      <c r="B11" s="32" t="s">
        <v>92</v>
      </c>
      <c r="C11" s="32" t="s">
        <v>318</v>
      </c>
      <c r="D11" s="32" t="s">
        <v>208</v>
      </c>
      <c r="E11" s="32" t="s">
        <v>208</v>
      </c>
      <c r="F11" s="32" t="s">
        <v>208</v>
      </c>
      <c r="G11" s="32" t="s">
        <v>319</v>
      </c>
      <c r="H11" s="32" t="s">
        <v>208</v>
      </c>
      <c r="I11" s="32" t="s">
        <v>319</v>
      </c>
      <c r="J11" s="32" t="s">
        <v>320</v>
      </c>
      <c r="K11" s="32" t="s">
        <v>1683</v>
      </c>
      <c r="L11" s="32" t="s">
        <v>321</v>
      </c>
      <c r="M11" s="32" t="s">
        <v>322</v>
      </c>
      <c r="N11" s="32" t="s">
        <v>212</v>
      </c>
      <c r="O11" s="32">
        <v>2</v>
      </c>
      <c r="P11" s="32" t="s">
        <v>323</v>
      </c>
      <c r="Q11" s="32">
        <v>3</v>
      </c>
      <c r="R11" s="32" t="s">
        <v>324</v>
      </c>
      <c r="S11" s="32">
        <v>2</v>
      </c>
      <c r="T11" s="32" t="s">
        <v>325</v>
      </c>
      <c r="U11" s="32">
        <v>2</v>
      </c>
      <c r="V11" s="32" t="s">
        <v>326</v>
      </c>
      <c r="W11" s="32">
        <v>1</v>
      </c>
      <c r="X11" s="32" t="s">
        <v>327</v>
      </c>
      <c r="Y11" s="32">
        <v>6</v>
      </c>
      <c r="Z11" s="32">
        <v>4</v>
      </c>
      <c r="AA11" s="32">
        <v>24</v>
      </c>
      <c r="AB11" s="32" t="s">
        <v>218</v>
      </c>
      <c r="AC11" s="30" t="s">
        <v>271</v>
      </c>
      <c r="AD11" s="30" t="s">
        <v>1724</v>
      </c>
      <c r="AE11" s="30">
        <v>1</v>
      </c>
      <c r="AF11" s="30" t="s">
        <v>328</v>
      </c>
      <c r="AG11" s="32">
        <v>1</v>
      </c>
      <c r="AH11" s="32" t="s">
        <v>329</v>
      </c>
      <c r="AI11" s="32">
        <v>1</v>
      </c>
      <c r="AJ11" s="32" t="s">
        <v>330</v>
      </c>
      <c r="AK11" s="32">
        <v>2</v>
      </c>
      <c r="AL11" s="32" t="s">
        <v>331</v>
      </c>
      <c r="AM11" s="32">
        <v>1</v>
      </c>
      <c r="AN11" s="32" t="s">
        <v>332</v>
      </c>
      <c r="AO11" s="30">
        <f t="shared" si="5"/>
        <v>3</v>
      </c>
      <c r="AP11" s="30">
        <f t="shared" si="3"/>
        <v>3</v>
      </c>
      <c r="AQ11" s="30">
        <f t="shared" si="4"/>
        <v>9</v>
      </c>
      <c r="AR11" s="30" t="s">
        <v>226</v>
      </c>
      <c r="AS11" s="32" t="s">
        <v>1385</v>
      </c>
      <c r="AT11" s="32" t="s">
        <v>333</v>
      </c>
    </row>
    <row r="12" spans="1:46" ht="230.25" customHeight="1">
      <c r="A12" s="30" t="s">
        <v>93</v>
      </c>
      <c r="B12" s="30" t="s">
        <v>94</v>
      </c>
      <c r="C12" s="30" t="s">
        <v>334</v>
      </c>
      <c r="D12" s="30" t="s">
        <v>208</v>
      </c>
      <c r="E12" s="30" t="s">
        <v>208</v>
      </c>
      <c r="F12" s="30" t="s">
        <v>208</v>
      </c>
      <c r="G12" s="30" t="s">
        <v>208</v>
      </c>
      <c r="H12" s="30" t="s">
        <v>208</v>
      </c>
      <c r="I12" s="30" t="s">
        <v>208</v>
      </c>
      <c r="J12" s="30" t="s">
        <v>279</v>
      </c>
      <c r="K12" s="30" t="s">
        <v>1684</v>
      </c>
      <c r="L12" s="30" t="s">
        <v>335</v>
      </c>
      <c r="M12" s="30" t="s">
        <v>336</v>
      </c>
      <c r="N12" s="30" t="s">
        <v>337</v>
      </c>
      <c r="O12" s="30">
        <v>3</v>
      </c>
      <c r="P12" s="122" t="s">
        <v>338</v>
      </c>
      <c r="Q12" s="30">
        <v>3</v>
      </c>
      <c r="R12" s="30" t="s">
        <v>339</v>
      </c>
      <c r="S12" s="30">
        <v>2</v>
      </c>
      <c r="T12" s="30" t="s">
        <v>340</v>
      </c>
      <c r="U12" s="30">
        <v>2</v>
      </c>
      <c r="V12" s="30" t="s">
        <v>341</v>
      </c>
      <c r="W12" s="30">
        <v>2</v>
      </c>
      <c r="X12" s="30" t="s">
        <v>342</v>
      </c>
      <c r="Y12" s="30">
        <v>7</v>
      </c>
      <c r="Z12" s="30">
        <v>5</v>
      </c>
      <c r="AA12" s="30">
        <v>35</v>
      </c>
      <c r="AB12" s="30" t="s">
        <v>287</v>
      </c>
      <c r="AC12" s="30" t="s">
        <v>271</v>
      </c>
      <c r="AD12" s="30" t="s">
        <v>1725</v>
      </c>
      <c r="AE12" s="30">
        <v>1</v>
      </c>
      <c r="AF12" s="30" t="s">
        <v>343</v>
      </c>
      <c r="AG12" s="30">
        <v>1</v>
      </c>
      <c r="AH12" s="30" t="s">
        <v>344</v>
      </c>
      <c r="AI12" s="30">
        <v>1</v>
      </c>
      <c r="AJ12" s="30" t="s">
        <v>345</v>
      </c>
      <c r="AK12" s="30">
        <v>2</v>
      </c>
      <c r="AL12" s="30" t="s">
        <v>346</v>
      </c>
      <c r="AM12" s="30">
        <v>2</v>
      </c>
      <c r="AN12" s="30" t="s">
        <v>347</v>
      </c>
      <c r="AO12" s="30">
        <f t="shared" si="5"/>
        <v>4</v>
      </c>
      <c r="AP12" s="30">
        <f t="shared" si="3"/>
        <v>3</v>
      </c>
      <c r="AQ12" s="30">
        <f t="shared" si="4"/>
        <v>12</v>
      </c>
      <c r="AR12" s="30" t="s">
        <v>226</v>
      </c>
      <c r="AS12" s="30" t="s">
        <v>1387</v>
      </c>
      <c r="AT12" s="30" t="s">
        <v>348</v>
      </c>
    </row>
    <row r="13" spans="1:46" ht="230.25" customHeight="1">
      <c r="A13" s="116" t="s">
        <v>93</v>
      </c>
      <c r="B13" s="116" t="s">
        <v>94</v>
      </c>
      <c r="C13" s="116" t="s">
        <v>1413</v>
      </c>
      <c r="D13" s="116" t="s">
        <v>208</v>
      </c>
      <c r="E13" s="116" t="s">
        <v>208</v>
      </c>
      <c r="F13" s="116" t="s">
        <v>208</v>
      </c>
      <c r="G13" s="116" t="s">
        <v>208</v>
      </c>
      <c r="H13" s="116" t="s">
        <v>208</v>
      </c>
      <c r="I13" s="116" t="s">
        <v>208</v>
      </c>
      <c r="J13" s="116" t="s">
        <v>1414</v>
      </c>
      <c r="K13" s="116" t="s">
        <v>1685</v>
      </c>
      <c r="L13" s="116" t="s">
        <v>1415</v>
      </c>
      <c r="M13" s="116" t="s">
        <v>1416</v>
      </c>
      <c r="N13" s="116" t="s">
        <v>1366</v>
      </c>
      <c r="O13" s="121">
        <v>2</v>
      </c>
      <c r="P13" s="123" t="s">
        <v>1417</v>
      </c>
      <c r="Q13" s="117">
        <v>3</v>
      </c>
      <c r="R13" s="116" t="s">
        <v>1418</v>
      </c>
      <c r="S13" s="116">
        <v>2</v>
      </c>
      <c r="T13" s="116" t="s">
        <v>1419</v>
      </c>
      <c r="U13" s="116">
        <v>1</v>
      </c>
      <c r="V13" s="116" t="s">
        <v>1420</v>
      </c>
      <c r="W13" s="116">
        <v>2</v>
      </c>
      <c r="X13" s="116" t="s">
        <v>1421</v>
      </c>
      <c r="Y13" s="116">
        <f t="shared" ref="Y13:Y18" si="6">Q13+S13+W13</f>
        <v>7</v>
      </c>
      <c r="Z13" s="116">
        <f t="shared" ref="Z13:Z18" si="7">O13+U13</f>
        <v>3</v>
      </c>
      <c r="AA13" s="116">
        <f t="shared" ref="AA13:AA18" si="8">Y13*Z13</f>
        <v>21</v>
      </c>
      <c r="AB13" s="116" t="s">
        <v>1422</v>
      </c>
      <c r="AC13" s="116" t="s">
        <v>1373</v>
      </c>
      <c r="AD13" s="116" t="s">
        <v>1423</v>
      </c>
      <c r="AE13" s="116">
        <v>2</v>
      </c>
      <c r="AF13" s="116" t="s">
        <v>1424</v>
      </c>
      <c r="AG13" s="116">
        <v>2</v>
      </c>
      <c r="AH13" s="116" t="s">
        <v>1425</v>
      </c>
      <c r="AI13" s="116">
        <v>1</v>
      </c>
      <c r="AJ13" s="116" t="s">
        <v>1426</v>
      </c>
      <c r="AK13" s="116">
        <v>1</v>
      </c>
      <c r="AL13" s="116" t="s">
        <v>1427</v>
      </c>
      <c r="AM13" s="116">
        <v>1</v>
      </c>
      <c r="AN13" s="116" t="s">
        <v>1428</v>
      </c>
      <c r="AO13" s="116">
        <f t="shared" si="5"/>
        <v>4</v>
      </c>
      <c r="AP13" s="116">
        <f t="shared" si="3"/>
        <v>3</v>
      </c>
      <c r="AQ13" s="116">
        <f t="shared" si="4"/>
        <v>12</v>
      </c>
      <c r="AR13" s="116" t="s">
        <v>1429</v>
      </c>
      <c r="AS13" s="30" t="s">
        <v>1388</v>
      </c>
      <c r="AT13" s="30" t="s">
        <v>363</v>
      </c>
    </row>
    <row r="14" spans="1:46" ht="136.5" customHeight="1">
      <c r="A14" s="30" t="s">
        <v>93</v>
      </c>
      <c r="B14" s="30" t="s">
        <v>95</v>
      </c>
      <c r="C14" s="30" t="s">
        <v>349</v>
      </c>
      <c r="D14" s="30" t="s">
        <v>319</v>
      </c>
      <c r="E14" s="30" t="s">
        <v>208</v>
      </c>
      <c r="F14" s="30" t="s">
        <v>208</v>
      </c>
      <c r="G14" s="30" t="s">
        <v>208</v>
      </c>
      <c r="H14" s="30" t="s">
        <v>319</v>
      </c>
      <c r="I14" s="30" t="s">
        <v>319</v>
      </c>
      <c r="J14" s="30" t="s">
        <v>350</v>
      </c>
      <c r="K14" s="33" t="s">
        <v>1686</v>
      </c>
      <c r="L14" s="30" t="s">
        <v>351</v>
      </c>
      <c r="M14" s="30" t="s">
        <v>352</v>
      </c>
      <c r="N14" s="30" t="s">
        <v>337</v>
      </c>
      <c r="O14" s="30">
        <v>3</v>
      </c>
      <c r="P14" s="31" t="s">
        <v>353</v>
      </c>
      <c r="Q14" s="30">
        <v>3</v>
      </c>
      <c r="R14" s="30" t="s">
        <v>354</v>
      </c>
      <c r="S14" s="30">
        <v>2</v>
      </c>
      <c r="T14" s="30" t="s">
        <v>355</v>
      </c>
      <c r="U14" s="30">
        <v>2</v>
      </c>
      <c r="V14" s="30" t="s">
        <v>356</v>
      </c>
      <c r="W14" s="30">
        <v>2</v>
      </c>
      <c r="X14" s="30" t="s">
        <v>357</v>
      </c>
      <c r="Y14" s="30">
        <f t="shared" si="6"/>
        <v>7</v>
      </c>
      <c r="Z14" s="30">
        <f t="shared" si="7"/>
        <v>5</v>
      </c>
      <c r="AA14" s="30">
        <f t="shared" si="8"/>
        <v>35</v>
      </c>
      <c r="AB14" s="30" t="s">
        <v>287</v>
      </c>
      <c r="AC14" s="30" t="s">
        <v>271</v>
      </c>
      <c r="AD14" s="30" t="s">
        <v>1471</v>
      </c>
      <c r="AE14" s="30">
        <v>1</v>
      </c>
      <c r="AF14" s="30" t="s">
        <v>358</v>
      </c>
      <c r="AG14" s="30">
        <v>1</v>
      </c>
      <c r="AH14" s="30" t="s">
        <v>359</v>
      </c>
      <c r="AI14" s="30">
        <v>1</v>
      </c>
      <c r="AJ14" s="30" t="s">
        <v>360</v>
      </c>
      <c r="AK14" s="30">
        <v>1</v>
      </c>
      <c r="AL14" s="30" t="s">
        <v>361</v>
      </c>
      <c r="AM14" s="30">
        <v>1</v>
      </c>
      <c r="AN14" s="30" t="s">
        <v>362</v>
      </c>
      <c r="AO14" s="30">
        <f t="shared" si="5"/>
        <v>3</v>
      </c>
      <c r="AP14" s="30">
        <f t="shared" si="3"/>
        <v>2</v>
      </c>
      <c r="AQ14" s="30">
        <f t="shared" si="4"/>
        <v>6</v>
      </c>
      <c r="AR14" s="30" t="s">
        <v>226</v>
      </c>
      <c r="AS14" s="30" t="s">
        <v>1388</v>
      </c>
      <c r="AT14" s="30" t="s">
        <v>363</v>
      </c>
    </row>
    <row r="15" spans="1:46" ht="136.5" customHeight="1">
      <c r="A15" s="30" t="s">
        <v>93</v>
      </c>
      <c r="B15" s="30" t="s">
        <v>95</v>
      </c>
      <c r="C15" s="30" t="s">
        <v>349</v>
      </c>
      <c r="D15" s="30"/>
      <c r="E15" s="30" t="s">
        <v>208</v>
      </c>
      <c r="F15" s="30" t="s">
        <v>208</v>
      </c>
      <c r="G15" s="30" t="s">
        <v>208</v>
      </c>
      <c r="H15" s="30"/>
      <c r="I15" s="30"/>
      <c r="J15" s="30" t="s">
        <v>350</v>
      </c>
      <c r="K15" s="33" t="s">
        <v>1687</v>
      </c>
      <c r="L15" s="30" t="s">
        <v>364</v>
      </c>
      <c r="M15" s="30" t="s">
        <v>365</v>
      </c>
      <c r="N15" s="32" t="s">
        <v>366</v>
      </c>
      <c r="O15" s="30">
        <v>3</v>
      </c>
      <c r="P15" s="31" t="s">
        <v>367</v>
      </c>
      <c r="Q15" s="30">
        <v>3</v>
      </c>
      <c r="R15" s="30" t="s">
        <v>368</v>
      </c>
      <c r="S15" s="30">
        <v>2</v>
      </c>
      <c r="T15" s="30" t="s">
        <v>369</v>
      </c>
      <c r="U15" s="30">
        <v>2</v>
      </c>
      <c r="V15" s="30" t="s">
        <v>370</v>
      </c>
      <c r="W15" s="30">
        <v>2</v>
      </c>
      <c r="X15" s="30" t="s">
        <v>371</v>
      </c>
      <c r="Y15" s="30">
        <f t="shared" si="6"/>
        <v>7</v>
      </c>
      <c r="Z15" s="30">
        <f t="shared" si="7"/>
        <v>5</v>
      </c>
      <c r="AA15" s="30">
        <f t="shared" si="8"/>
        <v>35</v>
      </c>
      <c r="AB15" s="30" t="s">
        <v>287</v>
      </c>
      <c r="AC15" s="30" t="s">
        <v>271</v>
      </c>
      <c r="AD15" s="30" t="s">
        <v>162</v>
      </c>
      <c r="AE15" s="30">
        <v>1</v>
      </c>
      <c r="AF15" s="30" t="s">
        <v>372</v>
      </c>
      <c r="AG15" s="30">
        <v>1</v>
      </c>
      <c r="AH15" s="30" t="s">
        <v>373</v>
      </c>
      <c r="AI15" s="30">
        <v>1</v>
      </c>
      <c r="AJ15" s="30" t="s">
        <v>374</v>
      </c>
      <c r="AK15" s="30">
        <v>1</v>
      </c>
      <c r="AL15" s="30" t="s">
        <v>375</v>
      </c>
      <c r="AM15" s="30">
        <v>1</v>
      </c>
      <c r="AN15" s="30" t="s">
        <v>376</v>
      </c>
      <c r="AO15" s="30">
        <f t="shared" si="5"/>
        <v>3</v>
      </c>
      <c r="AP15" s="30">
        <f t="shared" si="3"/>
        <v>2</v>
      </c>
      <c r="AQ15" s="30">
        <f t="shared" si="4"/>
        <v>6</v>
      </c>
      <c r="AR15" s="30" t="s">
        <v>226</v>
      </c>
      <c r="AS15" s="30" t="s">
        <v>1389</v>
      </c>
      <c r="AT15" s="30" t="s">
        <v>377</v>
      </c>
    </row>
    <row r="16" spans="1:46" ht="188.55" customHeight="1">
      <c r="A16" s="32" t="s">
        <v>96</v>
      </c>
      <c r="B16" s="30" t="s">
        <v>97</v>
      </c>
      <c r="C16" s="30" t="s">
        <v>378</v>
      </c>
      <c r="D16" s="30" t="s">
        <v>208</v>
      </c>
      <c r="E16" s="30" t="s">
        <v>208</v>
      </c>
      <c r="F16" s="30"/>
      <c r="G16" s="30" t="s">
        <v>208</v>
      </c>
      <c r="H16" s="30"/>
      <c r="I16" s="30"/>
      <c r="J16" s="30" t="s">
        <v>379</v>
      </c>
      <c r="K16" s="30" t="s">
        <v>1688</v>
      </c>
      <c r="L16" s="30" t="s">
        <v>380</v>
      </c>
      <c r="M16" s="30" t="s">
        <v>381</v>
      </c>
      <c r="N16" s="30" t="s">
        <v>212</v>
      </c>
      <c r="O16" s="30">
        <v>3</v>
      </c>
      <c r="P16" s="30" t="s">
        <v>382</v>
      </c>
      <c r="Q16" s="30">
        <v>3</v>
      </c>
      <c r="R16" s="30" t="s">
        <v>383</v>
      </c>
      <c r="S16" s="30">
        <v>2</v>
      </c>
      <c r="T16" s="30" t="s">
        <v>384</v>
      </c>
      <c r="U16" s="30">
        <v>1</v>
      </c>
      <c r="V16" s="30" t="s">
        <v>385</v>
      </c>
      <c r="W16" s="30">
        <v>1</v>
      </c>
      <c r="X16" s="30" t="s">
        <v>386</v>
      </c>
      <c r="Y16" s="30">
        <f t="shared" si="6"/>
        <v>6</v>
      </c>
      <c r="Z16" s="30">
        <f t="shared" si="7"/>
        <v>4</v>
      </c>
      <c r="AA16" s="30">
        <f t="shared" si="8"/>
        <v>24</v>
      </c>
      <c r="AB16" s="30" t="s">
        <v>218</v>
      </c>
      <c r="AC16" s="30" t="s">
        <v>271</v>
      </c>
      <c r="AD16" s="30" t="s">
        <v>1472</v>
      </c>
      <c r="AE16" s="30">
        <v>2</v>
      </c>
      <c r="AF16" s="30" t="s">
        <v>387</v>
      </c>
      <c r="AG16" s="30">
        <v>1</v>
      </c>
      <c r="AH16" s="30" t="s">
        <v>388</v>
      </c>
      <c r="AI16" s="30">
        <v>1</v>
      </c>
      <c r="AJ16" s="30" t="s">
        <v>389</v>
      </c>
      <c r="AK16" s="30">
        <v>1</v>
      </c>
      <c r="AL16" s="30" t="s">
        <v>390</v>
      </c>
      <c r="AM16" s="30">
        <v>1</v>
      </c>
      <c r="AN16" s="30" t="s">
        <v>391</v>
      </c>
      <c r="AO16" s="30">
        <f t="shared" si="5"/>
        <v>3</v>
      </c>
      <c r="AP16" s="30">
        <f t="shared" si="3"/>
        <v>3</v>
      </c>
      <c r="AQ16" s="30">
        <f t="shared" si="4"/>
        <v>9</v>
      </c>
      <c r="AR16" s="30" t="s">
        <v>226</v>
      </c>
      <c r="AS16" s="30" t="s">
        <v>1390</v>
      </c>
      <c r="AT16" s="30" t="s">
        <v>236</v>
      </c>
    </row>
    <row r="17" spans="1:46" ht="202.5">
      <c r="A17" s="32" t="s">
        <v>98</v>
      </c>
      <c r="B17" s="32" t="s">
        <v>99</v>
      </c>
      <c r="C17" s="34" t="s">
        <v>392</v>
      </c>
      <c r="D17" s="34" t="s">
        <v>319</v>
      </c>
      <c r="E17" s="34" t="s">
        <v>319</v>
      </c>
      <c r="F17" s="34" t="s">
        <v>319</v>
      </c>
      <c r="G17" s="34" t="s">
        <v>319</v>
      </c>
      <c r="H17" s="34" t="s">
        <v>319</v>
      </c>
      <c r="I17" s="34" t="s">
        <v>208</v>
      </c>
      <c r="J17" s="34" t="s">
        <v>393</v>
      </c>
      <c r="K17" s="32" t="s">
        <v>1689</v>
      </c>
      <c r="L17" s="32" t="s">
        <v>394</v>
      </c>
      <c r="M17" s="32" t="s">
        <v>395</v>
      </c>
      <c r="N17" s="32" t="s">
        <v>1365</v>
      </c>
      <c r="O17" s="32">
        <v>2</v>
      </c>
      <c r="P17" s="32" t="s">
        <v>396</v>
      </c>
      <c r="Q17" s="32">
        <v>3</v>
      </c>
      <c r="R17" s="32" t="s">
        <v>397</v>
      </c>
      <c r="S17" s="34">
        <v>2</v>
      </c>
      <c r="T17" s="32" t="s">
        <v>398</v>
      </c>
      <c r="U17" s="32">
        <v>3</v>
      </c>
      <c r="V17" s="32" t="s">
        <v>399</v>
      </c>
      <c r="W17" s="32">
        <v>1</v>
      </c>
      <c r="X17" s="32" t="s">
        <v>400</v>
      </c>
      <c r="Y17" s="32">
        <f t="shared" si="6"/>
        <v>6</v>
      </c>
      <c r="Z17" s="32">
        <f t="shared" si="7"/>
        <v>5</v>
      </c>
      <c r="AA17" s="32">
        <f t="shared" si="8"/>
        <v>30</v>
      </c>
      <c r="AB17" s="32" t="s">
        <v>218</v>
      </c>
      <c r="AC17" s="30" t="s">
        <v>401</v>
      </c>
      <c r="AD17" s="30" t="s">
        <v>1473</v>
      </c>
      <c r="AE17" s="32">
        <v>1</v>
      </c>
      <c r="AF17" s="32" t="s">
        <v>402</v>
      </c>
      <c r="AG17" s="32">
        <v>1</v>
      </c>
      <c r="AH17" s="32" t="s">
        <v>403</v>
      </c>
      <c r="AI17" s="32">
        <v>1</v>
      </c>
      <c r="AJ17" s="32" t="s">
        <v>404</v>
      </c>
      <c r="AK17" s="32">
        <v>2</v>
      </c>
      <c r="AL17" s="32" t="s">
        <v>405</v>
      </c>
      <c r="AM17" s="32">
        <v>1</v>
      </c>
      <c r="AN17" s="32" t="s">
        <v>406</v>
      </c>
      <c r="AO17" s="30">
        <f t="shared" si="5"/>
        <v>3</v>
      </c>
      <c r="AP17" s="30">
        <f t="shared" si="3"/>
        <v>3</v>
      </c>
      <c r="AQ17" s="30">
        <f t="shared" si="4"/>
        <v>9</v>
      </c>
      <c r="AR17" s="30" t="s">
        <v>226</v>
      </c>
      <c r="AS17" s="32" t="s">
        <v>1391</v>
      </c>
      <c r="AT17" s="32" t="s">
        <v>407</v>
      </c>
    </row>
    <row r="18" spans="1:46" ht="121.5">
      <c r="A18" s="32" t="s">
        <v>100</v>
      </c>
      <c r="B18" s="35" t="s">
        <v>1359</v>
      </c>
      <c r="C18" s="119" t="s">
        <v>1360</v>
      </c>
      <c r="D18" s="119" t="s">
        <v>1361</v>
      </c>
      <c r="E18" s="119" t="s">
        <v>1361</v>
      </c>
      <c r="F18" s="119"/>
      <c r="G18" s="119" t="s">
        <v>1361</v>
      </c>
      <c r="H18" s="119" t="s">
        <v>1361</v>
      </c>
      <c r="I18" s="119"/>
      <c r="J18" s="119" t="s">
        <v>1362</v>
      </c>
      <c r="K18" s="32" t="s">
        <v>1690</v>
      </c>
      <c r="L18" s="32" t="s">
        <v>1364</v>
      </c>
      <c r="M18" s="32" t="s">
        <v>1363</v>
      </c>
      <c r="N18" s="32" t="s">
        <v>1366</v>
      </c>
      <c r="O18" s="32">
        <v>3</v>
      </c>
      <c r="P18" s="32" t="s">
        <v>1367</v>
      </c>
      <c r="Q18" s="32">
        <v>3</v>
      </c>
      <c r="R18" s="120" t="s">
        <v>1368</v>
      </c>
      <c r="S18" s="119">
        <v>2</v>
      </c>
      <c r="T18" s="32" t="s">
        <v>1369</v>
      </c>
      <c r="U18" s="32">
        <v>2</v>
      </c>
      <c r="V18" s="32" t="s">
        <v>1370</v>
      </c>
      <c r="W18" s="32">
        <v>2</v>
      </c>
      <c r="X18" s="32" t="s">
        <v>1371</v>
      </c>
      <c r="Y18" s="32">
        <f t="shared" si="6"/>
        <v>7</v>
      </c>
      <c r="Z18" s="32">
        <f t="shared" si="7"/>
        <v>5</v>
      </c>
      <c r="AA18" s="32">
        <f t="shared" si="8"/>
        <v>35</v>
      </c>
      <c r="AB18" s="32" t="s">
        <v>1372</v>
      </c>
      <c r="AC18" s="30" t="s">
        <v>1373</v>
      </c>
      <c r="AD18" s="30" t="s">
        <v>1374</v>
      </c>
      <c r="AE18" s="32">
        <v>3</v>
      </c>
      <c r="AF18" s="32" t="s">
        <v>1375</v>
      </c>
      <c r="AG18" s="32">
        <v>1</v>
      </c>
      <c r="AH18" s="32" t="s">
        <v>1376</v>
      </c>
      <c r="AI18" s="32">
        <v>1</v>
      </c>
      <c r="AJ18" s="32" t="s">
        <v>1377</v>
      </c>
      <c r="AK18" s="32">
        <v>1</v>
      </c>
      <c r="AL18" s="32" t="s">
        <v>1378</v>
      </c>
      <c r="AM18" s="32">
        <v>1</v>
      </c>
      <c r="AN18" s="32" t="s">
        <v>1379</v>
      </c>
      <c r="AO18" s="30">
        <f t="shared" si="5"/>
        <v>3</v>
      </c>
      <c r="AP18" s="30">
        <f t="shared" si="3"/>
        <v>4</v>
      </c>
      <c r="AQ18" s="30">
        <f t="shared" si="4"/>
        <v>12</v>
      </c>
      <c r="AR18" s="30" t="s">
        <v>226</v>
      </c>
      <c r="AS18" s="32" t="s">
        <v>1396</v>
      </c>
      <c r="AT18" s="30" t="s">
        <v>236</v>
      </c>
    </row>
    <row r="19" spans="1:46" ht="276.7" customHeight="1">
      <c r="A19" s="32" t="s">
        <v>100</v>
      </c>
      <c r="B19" s="34" t="s">
        <v>101</v>
      </c>
      <c r="C19" s="34" t="s">
        <v>408</v>
      </c>
      <c r="D19" s="34" t="s">
        <v>208</v>
      </c>
      <c r="E19" s="34" t="s">
        <v>208</v>
      </c>
      <c r="F19" s="34" t="s">
        <v>208</v>
      </c>
      <c r="G19" s="34" t="s">
        <v>319</v>
      </c>
      <c r="H19" s="34" t="s">
        <v>208</v>
      </c>
      <c r="I19" s="34" t="s">
        <v>208</v>
      </c>
      <c r="J19" s="34" t="s">
        <v>409</v>
      </c>
      <c r="K19" s="30" t="s">
        <v>1691</v>
      </c>
      <c r="L19" s="30" t="s">
        <v>410</v>
      </c>
      <c r="M19" s="30" t="s">
        <v>411</v>
      </c>
      <c r="N19" s="30" t="s">
        <v>412</v>
      </c>
      <c r="O19" s="30">
        <v>3</v>
      </c>
      <c r="P19" s="30" t="s">
        <v>413</v>
      </c>
      <c r="Q19" s="30">
        <v>3</v>
      </c>
      <c r="R19" s="30" t="s">
        <v>414</v>
      </c>
      <c r="S19" s="35">
        <v>2</v>
      </c>
      <c r="T19" s="30" t="s">
        <v>415</v>
      </c>
      <c r="U19" s="30">
        <v>2</v>
      </c>
      <c r="V19" s="30" t="s">
        <v>416</v>
      </c>
      <c r="W19" s="30">
        <v>2</v>
      </c>
      <c r="X19" s="30" t="s">
        <v>417</v>
      </c>
      <c r="Y19" s="30">
        <v>7</v>
      </c>
      <c r="Z19" s="30">
        <v>5</v>
      </c>
      <c r="AA19" s="30">
        <v>35</v>
      </c>
      <c r="AB19" s="30" t="s">
        <v>287</v>
      </c>
      <c r="AC19" s="30" t="s">
        <v>220</v>
      </c>
      <c r="AD19" s="30" t="s">
        <v>1474</v>
      </c>
      <c r="AE19" s="30">
        <v>2</v>
      </c>
      <c r="AF19" s="30" t="s">
        <v>418</v>
      </c>
      <c r="AG19" s="30">
        <v>1</v>
      </c>
      <c r="AH19" s="30" t="s">
        <v>419</v>
      </c>
      <c r="AI19" s="30">
        <v>1</v>
      </c>
      <c r="AJ19" s="30" t="s">
        <v>420</v>
      </c>
      <c r="AK19" s="30">
        <v>1</v>
      </c>
      <c r="AL19" s="30" t="s">
        <v>421</v>
      </c>
      <c r="AM19" s="30">
        <v>1</v>
      </c>
      <c r="AN19" s="30" t="s">
        <v>422</v>
      </c>
      <c r="AO19" s="30">
        <f t="shared" si="5"/>
        <v>3</v>
      </c>
      <c r="AP19" s="30">
        <f t="shared" si="3"/>
        <v>3</v>
      </c>
      <c r="AQ19" s="30">
        <f t="shared" si="4"/>
        <v>9</v>
      </c>
      <c r="AR19" s="30" t="s">
        <v>226</v>
      </c>
      <c r="AS19" s="30" t="s">
        <v>1392</v>
      </c>
      <c r="AT19" s="30" t="s">
        <v>423</v>
      </c>
    </row>
    <row r="20" spans="1:46" ht="81.75" customHeight="1">
      <c r="A20" s="30" t="s">
        <v>100</v>
      </c>
      <c r="B20" s="30" t="s">
        <v>102</v>
      </c>
      <c r="C20" s="30" t="s">
        <v>424</v>
      </c>
      <c r="D20" s="30" t="s">
        <v>208</v>
      </c>
      <c r="E20" s="30" t="s">
        <v>319</v>
      </c>
      <c r="F20" s="30" t="s">
        <v>319</v>
      </c>
      <c r="G20" s="30" t="s">
        <v>319</v>
      </c>
      <c r="H20" s="30" t="s">
        <v>319</v>
      </c>
      <c r="I20" s="30" t="s">
        <v>319</v>
      </c>
      <c r="J20" s="30" t="s">
        <v>425</v>
      </c>
      <c r="K20" s="30" t="s">
        <v>1692</v>
      </c>
      <c r="L20" s="30" t="s">
        <v>426</v>
      </c>
      <c r="M20" s="30" t="s">
        <v>427</v>
      </c>
      <c r="N20" s="32" t="s">
        <v>428</v>
      </c>
      <c r="O20" s="30">
        <v>2</v>
      </c>
      <c r="P20" s="30" t="s">
        <v>429</v>
      </c>
      <c r="Q20" s="30">
        <v>3</v>
      </c>
      <c r="R20" s="30" t="s">
        <v>430</v>
      </c>
      <c r="S20" s="30">
        <v>2</v>
      </c>
      <c r="T20" s="30" t="s">
        <v>431</v>
      </c>
      <c r="U20" s="30">
        <v>2</v>
      </c>
      <c r="V20" s="30" t="s">
        <v>432</v>
      </c>
      <c r="W20" s="30">
        <v>2</v>
      </c>
      <c r="X20" s="30" t="s">
        <v>433</v>
      </c>
      <c r="Y20" s="30">
        <v>7</v>
      </c>
      <c r="Z20" s="30">
        <v>4</v>
      </c>
      <c r="AA20" s="30">
        <v>28</v>
      </c>
      <c r="AB20" s="30" t="s">
        <v>218</v>
      </c>
      <c r="AC20" s="30" t="s">
        <v>220</v>
      </c>
      <c r="AD20" s="30" t="s">
        <v>434</v>
      </c>
      <c r="AE20" s="30">
        <v>1</v>
      </c>
      <c r="AF20" s="30" t="s">
        <v>435</v>
      </c>
      <c r="AG20" s="30">
        <v>1</v>
      </c>
      <c r="AH20" s="30" t="s">
        <v>436</v>
      </c>
      <c r="AI20" s="30">
        <v>2</v>
      </c>
      <c r="AJ20" s="30" t="s">
        <v>437</v>
      </c>
      <c r="AK20" s="30">
        <v>1</v>
      </c>
      <c r="AL20" s="30" t="s">
        <v>438</v>
      </c>
      <c r="AM20" s="30">
        <v>1</v>
      </c>
      <c r="AN20" s="30" t="s">
        <v>439</v>
      </c>
      <c r="AO20" s="30">
        <f t="shared" si="5"/>
        <v>4</v>
      </c>
      <c r="AP20" s="30">
        <f t="shared" si="3"/>
        <v>2</v>
      </c>
      <c r="AQ20" s="30">
        <f t="shared" si="4"/>
        <v>8</v>
      </c>
      <c r="AR20" s="30" t="s">
        <v>226</v>
      </c>
      <c r="AS20" s="30" t="s">
        <v>1393</v>
      </c>
      <c r="AT20" s="30" t="s">
        <v>440</v>
      </c>
    </row>
    <row r="21" spans="1:46" s="23" customFormat="1" ht="230.25" customHeight="1">
      <c r="A21" s="30" t="s">
        <v>100</v>
      </c>
      <c r="B21" s="30" t="s">
        <v>103</v>
      </c>
      <c r="C21" s="30" t="s">
        <v>441</v>
      </c>
      <c r="D21" s="30" t="s">
        <v>208</v>
      </c>
      <c r="E21" s="30" t="s">
        <v>208</v>
      </c>
      <c r="F21" s="30" t="s">
        <v>208</v>
      </c>
      <c r="G21" s="30" t="s">
        <v>208</v>
      </c>
      <c r="H21" s="30" t="s">
        <v>208</v>
      </c>
      <c r="I21" s="30" t="s">
        <v>208</v>
      </c>
      <c r="J21" s="30" t="s">
        <v>279</v>
      </c>
      <c r="K21" s="30" t="s">
        <v>1693</v>
      </c>
      <c r="L21" s="30" t="s">
        <v>1430</v>
      </c>
      <c r="M21" s="30" t="s">
        <v>442</v>
      </c>
      <c r="N21" s="30" t="s">
        <v>428</v>
      </c>
      <c r="O21" s="30">
        <v>3</v>
      </c>
      <c r="P21" s="30" t="s">
        <v>443</v>
      </c>
      <c r="Q21" s="30">
        <v>3</v>
      </c>
      <c r="R21" s="30" t="s">
        <v>444</v>
      </c>
      <c r="S21" s="30">
        <v>1</v>
      </c>
      <c r="T21" s="30" t="s">
        <v>1288</v>
      </c>
      <c r="U21" s="30">
        <v>1</v>
      </c>
      <c r="V21" s="30" t="s">
        <v>445</v>
      </c>
      <c r="W21" s="30">
        <v>1</v>
      </c>
      <c r="X21" s="30" t="s">
        <v>1286</v>
      </c>
      <c r="Y21" s="30">
        <f t="shared" ref="Y21:Y28" si="9">Q21+S21+W21</f>
        <v>5</v>
      </c>
      <c r="Z21" s="30">
        <f t="shared" ref="Z21:Z28" si="10">O21+U21</f>
        <v>4</v>
      </c>
      <c r="AA21" s="30">
        <f t="shared" ref="AA21:AA28" si="11">Y21*Z21</f>
        <v>20</v>
      </c>
      <c r="AB21" s="30" t="s">
        <v>218</v>
      </c>
      <c r="AC21" s="30" t="s">
        <v>271</v>
      </c>
      <c r="AD21" s="30" t="s">
        <v>1450</v>
      </c>
      <c r="AE21" s="116">
        <v>3</v>
      </c>
      <c r="AF21" s="116" t="s">
        <v>1287</v>
      </c>
      <c r="AG21" s="116">
        <v>2</v>
      </c>
      <c r="AH21" s="116" t="s">
        <v>1451</v>
      </c>
      <c r="AI21" s="116">
        <v>1</v>
      </c>
      <c r="AJ21" s="116" t="s">
        <v>1289</v>
      </c>
      <c r="AK21" s="116">
        <v>1</v>
      </c>
      <c r="AL21" s="116" t="s">
        <v>1457</v>
      </c>
      <c r="AM21" s="116">
        <v>1</v>
      </c>
      <c r="AN21" s="116" t="s">
        <v>1452</v>
      </c>
      <c r="AO21" s="116">
        <f t="shared" si="5"/>
        <v>4</v>
      </c>
      <c r="AP21" s="116">
        <f t="shared" si="3"/>
        <v>4</v>
      </c>
      <c r="AQ21" s="116">
        <f t="shared" si="4"/>
        <v>16</v>
      </c>
      <c r="AR21" s="116" t="s">
        <v>226</v>
      </c>
      <c r="AS21" s="30" t="s">
        <v>1386</v>
      </c>
      <c r="AT21" s="30" t="s">
        <v>348</v>
      </c>
    </row>
    <row r="22" spans="1:46" s="23" customFormat="1" ht="230.25" customHeight="1">
      <c r="A22" s="116" t="s">
        <v>100</v>
      </c>
      <c r="B22" s="116" t="s">
        <v>103</v>
      </c>
      <c r="C22" s="116" t="s">
        <v>441</v>
      </c>
      <c r="D22" s="116" t="s">
        <v>208</v>
      </c>
      <c r="E22" s="116" t="s">
        <v>208</v>
      </c>
      <c r="F22" s="116" t="s">
        <v>208</v>
      </c>
      <c r="G22" s="116" t="s">
        <v>208</v>
      </c>
      <c r="H22" s="116" t="s">
        <v>208</v>
      </c>
      <c r="I22" s="116" t="s">
        <v>208</v>
      </c>
      <c r="J22" s="116" t="s">
        <v>1414</v>
      </c>
      <c r="K22" s="116" t="s">
        <v>1694</v>
      </c>
      <c r="L22" s="116" t="s">
        <v>1432</v>
      </c>
      <c r="M22" s="116" t="s">
        <v>1431</v>
      </c>
      <c r="N22" s="116" t="s">
        <v>1366</v>
      </c>
      <c r="O22" s="116">
        <v>2</v>
      </c>
      <c r="P22" s="116" t="s">
        <v>1433</v>
      </c>
      <c r="Q22" s="116">
        <v>3</v>
      </c>
      <c r="R22" s="116" t="s">
        <v>1434</v>
      </c>
      <c r="S22" s="116">
        <v>2</v>
      </c>
      <c r="T22" s="116" t="s">
        <v>1435</v>
      </c>
      <c r="U22" s="116">
        <v>1</v>
      </c>
      <c r="V22" s="116" t="s">
        <v>1420</v>
      </c>
      <c r="W22" s="116">
        <v>1</v>
      </c>
      <c r="X22" s="116" t="s">
        <v>1436</v>
      </c>
      <c r="Y22" s="116">
        <f>Q22+S22+W22</f>
        <v>6</v>
      </c>
      <c r="Z22" s="116">
        <f>O22+U22</f>
        <v>3</v>
      </c>
      <c r="AA22" s="116">
        <f>Y22*Z22</f>
        <v>18</v>
      </c>
      <c r="AB22" s="116" t="s">
        <v>1422</v>
      </c>
      <c r="AC22" s="116" t="s">
        <v>1373</v>
      </c>
      <c r="AD22" s="116" t="s">
        <v>1456</v>
      </c>
      <c r="AE22" s="116">
        <v>2</v>
      </c>
      <c r="AF22" s="116" t="s">
        <v>1437</v>
      </c>
      <c r="AG22" s="116">
        <v>1</v>
      </c>
      <c r="AH22" s="116" t="s">
        <v>1438</v>
      </c>
      <c r="AI22" s="116">
        <v>1</v>
      </c>
      <c r="AJ22" s="116" t="s">
        <v>1439</v>
      </c>
      <c r="AK22" s="116">
        <v>1</v>
      </c>
      <c r="AL22" s="116" t="s">
        <v>1440</v>
      </c>
      <c r="AM22" s="116">
        <v>1</v>
      </c>
      <c r="AN22" s="116" t="s">
        <v>1441</v>
      </c>
      <c r="AO22" s="116">
        <f t="shared" si="5"/>
        <v>3</v>
      </c>
      <c r="AP22" s="116">
        <f t="shared" si="3"/>
        <v>3</v>
      </c>
      <c r="AQ22" s="116">
        <f t="shared" si="4"/>
        <v>9</v>
      </c>
      <c r="AR22" s="116" t="s">
        <v>1429</v>
      </c>
      <c r="AS22" s="30" t="s">
        <v>1386</v>
      </c>
      <c r="AT22" s="30" t="s">
        <v>348</v>
      </c>
    </row>
    <row r="23" spans="1:46" s="23" customFormat="1" ht="112.05" customHeight="1">
      <c r="A23" s="30" t="s">
        <v>100</v>
      </c>
      <c r="B23" s="30" t="s">
        <v>103</v>
      </c>
      <c r="C23" s="30" t="s">
        <v>446</v>
      </c>
      <c r="D23" s="30" t="s">
        <v>208</v>
      </c>
      <c r="E23" s="30" t="s">
        <v>208</v>
      </c>
      <c r="F23" s="30" t="s">
        <v>208</v>
      </c>
      <c r="G23" s="30" t="s">
        <v>208</v>
      </c>
      <c r="H23" s="30" t="s">
        <v>208</v>
      </c>
      <c r="I23" s="30" t="s">
        <v>319</v>
      </c>
      <c r="J23" s="30" t="s">
        <v>447</v>
      </c>
      <c r="K23" s="30" t="s">
        <v>1695</v>
      </c>
      <c r="L23" s="30" t="s">
        <v>448</v>
      </c>
      <c r="M23" s="30" t="s">
        <v>449</v>
      </c>
      <c r="N23" s="30" t="s">
        <v>428</v>
      </c>
      <c r="O23" s="30">
        <v>3</v>
      </c>
      <c r="P23" s="30" t="s">
        <v>450</v>
      </c>
      <c r="Q23" s="30">
        <v>2</v>
      </c>
      <c r="R23" s="30" t="s">
        <v>451</v>
      </c>
      <c r="S23" s="30">
        <v>1</v>
      </c>
      <c r="T23" s="30" t="s">
        <v>452</v>
      </c>
      <c r="U23" s="30">
        <v>2</v>
      </c>
      <c r="V23" s="30" t="s">
        <v>453</v>
      </c>
      <c r="W23" s="30">
        <v>2</v>
      </c>
      <c r="X23" s="30" t="s">
        <v>454</v>
      </c>
      <c r="Y23" s="30">
        <f t="shared" si="9"/>
        <v>5</v>
      </c>
      <c r="Z23" s="30">
        <f t="shared" si="10"/>
        <v>5</v>
      </c>
      <c r="AA23" s="30">
        <f t="shared" si="11"/>
        <v>25</v>
      </c>
      <c r="AB23" s="30" t="s">
        <v>218</v>
      </c>
      <c r="AC23" s="30" t="s">
        <v>220</v>
      </c>
      <c r="AD23" s="30" t="s">
        <v>1475</v>
      </c>
      <c r="AE23" s="30">
        <v>2</v>
      </c>
      <c r="AF23" s="30" t="s">
        <v>455</v>
      </c>
      <c r="AG23" s="30">
        <v>1</v>
      </c>
      <c r="AH23" s="30" t="s">
        <v>456</v>
      </c>
      <c r="AI23" s="30">
        <v>1</v>
      </c>
      <c r="AJ23" s="30" t="s">
        <v>457</v>
      </c>
      <c r="AK23" s="30">
        <v>1</v>
      </c>
      <c r="AL23" s="30" t="s">
        <v>458</v>
      </c>
      <c r="AM23" s="30">
        <v>1</v>
      </c>
      <c r="AN23" s="30" t="s">
        <v>459</v>
      </c>
      <c r="AO23" s="30">
        <f t="shared" si="5"/>
        <v>3</v>
      </c>
      <c r="AP23" s="30">
        <f t="shared" si="3"/>
        <v>3</v>
      </c>
      <c r="AQ23" s="30">
        <f t="shared" si="4"/>
        <v>9</v>
      </c>
      <c r="AR23" s="30" t="s">
        <v>226</v>
      </c>
      <c r="AS23" s="30" t="s">
        <v>1394</v>
      </c>
      <c r="AT23" s="30" t="s">
        <v>333</v>
      </c>
    </row>
    <row r="24" spans="1:46" s="23" customFormat="1" ht="95.25" customHeight="1">
      <c r="A24" s="32" t="s">
        <v>100</v>
      </c>
      <c r="B24" s="34" t="s">
        <v>104</v>
      </c>
      <c r="C24" s="30" t="s">
        <v>460</v>
      </c>
      <c r="D24" s="30" t="s">
        <v>319</v>
      </c>
      <c r="E24" s="30" t="s">
        <v>208</v>
      </c>
      <c r="F24" s="30" t="s">
        <v>319</v>
      </c>
      <c r="G24" s="30" t="s">
        <v>319</v>
      </c>
      <c r="H24" s="30" t="s">
        <v>208</v>
      </c>
      <c r="I24" s="30" t="s">
        <v>319</v>
      </c>
      <c r="J24" s="30" t="s">
        <v>461</v>
      </c>
      <c r="K24" s="30" t="s">
        <v>1696</v>
      </c>
      <c r="L24" s="30" t="s">
        <v>462</v>
      </c>
      <c r="M24" s="30" t="s">
        <v>463</v>
      </c>
      <c r="N24" s="30" t="s">
        <v>212</v>
      </c>
      <c r="O24" s="30">
        <v>2</v>
      </c>
      <c r="P24" s="30" t="s">
        <v>464</v>
      </c>
      <c r="Q24" s="30">
        <v>2</v>
      </c>
      <c r="R24" s="30" t="s">
        <v>465</v>
      </c>
      <c r="S24" s="30">
        <v>2</v>
      </c>
      <c r="T24" s="30" t="s">
        <v>466</v>
      </c>
      <c r="U24" s="30">
        <v>2</v>
      </c>
      <c r="V24" s="30" t="s">
        <v>467</v>
      </c>
      <c r="W24" s="30">
        <v>1</v>
      </c>
      <c r="X24" s="30" t="s">
        <v>468</v>
      </c>
      <c r="Y24" s="30">
        <f t="shared" si="9"/>
        <v>5</v>
      </c>
      <c r="Z24" s="30">
        <f t="shared" si="10"/>
        <v>4</v>
      </c>
      <c r="AA24" s="30">
        <f t="shared" si="11"/>
        <v>20</v>
      </c>
      <c r="AB24" s="30" t="s">
        <v>218</v>
      </c>
      <c r="AC24" s="30" t="s">
        <v>220</v>
      </c>
      <c r="AD24" s="30" t="s">
        <v>1526</v>
      </c>
      <c r="AE24" s="30">
        <v>1</v>
      </c>
      <c r="AF24" s="30" t="s">
        <v>469</v>
      </c>
      <c r="AG24" s="30">
        <v>1</v>
      </c>
      <c r="AH24" s="30" t="s">
        <v>470</v>
      </c>
      <c r="AI24" s="30">
        <v>1</v>
      </c>
      <c r="AJ24" s="30" t="s">
        <v>471</v>
      </c>
      <c r="AK24" s="30">
        <v>2</v>
      </c>
      <c r="AL24" s="30" t="s">
        <v>472</v>
      </c>
      <c r="AM24" s="30">
        <v>1</v>
      </c>
      <c r="AN24" s="30" t="s">
        <v>473</v>
      </c>
      <c r="AO24" s="30">
        <f t="shared" si="5"/>
        <v>3</v>
      </c>
      <c r="AP24" s="30">
        <f t="shared" si="3"/>
        <v>3</v>
      </c>
      <c r="AQ24" s="30">
        <f t="shared" si="4"/>
        <v>9</v>
      </c>
      <c r="AR24" s="30" t="s">
        <v>226</v>
      </c>
      <c r="AS24" s="30" t="s">
        <v>1401</v>
      </c>
      <c r="AT24" s="30" t="s">
        <v>474</v>
      </c>
    </row>
    <row r="25" spans="1:46" s="23" customFormat="1" ht="141" customHeight="1">
      <c r="A25" s="30" t="s">
        <v>100</v>
      </c>
      <c r="B25" s="30" t="s">
        <v>105</v>
      </c>
      <c r="C25" s="30" t="s">
        <v>475</v>
      </c>
      <c r="D25" s="30" t="s">
        <v>208</v>
      </c>
      <c r="E25" s="30" t="s">
        <v>208</v>
      </c>
      <c r="F25" s="30" t="s">
        <v>319</v>
      </c>
      <c r="G25" s="30" t="s">
        <v>208</v>
      </c>
      <c r="H25" s="30" t="s">
        <v>319</v>
      </c>
      <c r="I25" s="30" t="s">
        <v>319</v>
      </c>
      <c r="J25" s="30" t="s">
        <v>379</v>
      </c>
      <c r="K25" s="30" t="s">
        <v>1697</v>
      </c>
      <c r="L25" s="30" t="s">
        <v>476</v>
      </c>
      <c r="M25" s="30" t="s">
        <v>477</v>
      </c>
      <c r="N25" s="30" t="s">
        <v>212</v>
      </c>
      <c r="O25" s="30">
        <v>2</v>
      </c>
      <c r="P25" s="30" t="s">
        <v>478</v>
      </c>
      <c r="Q25" s="30">
        <v>3</v>
      </c>
      <c r="R25" s="30" t="s">
        <v>479</v>
      </c>
      <c r="S25" s="30">
        <v>2</v>
      </c>
      <c r="T25" s="30" t="s">
        <v>480</v>
      </c>
      <c r="U25" s="30">
        <v>2</v>
      </c>
      <c r="V25" s="30" t="s">
        <v>481</v>
      </c>
      <c r="W25" s="30">
        <v>2</v>
      </c>
      <c r="X25" s="30" t="s">
        <v>482</v>
      </c>
      <c r="Y25" s="30">
        <f t="shared" si="9"/>
        <v>7</v>
      </c>
      <c r="Z25" s="30">
        <f t="shared" si="10"/>
        <v>4</v>
      </c>
      <c r="AA25" s="30">
        <f t="shared" si="11"/>
        <v>28</v>
      </c>
      <c r="AB25" s="30" t="s">
        <v>218</v>
      </c>
      <c r="AC25" s="30" t="s">
        <v>271</v>
      </c>
      <c r="AD25" s="30" t="s">
        <v>1476</v>
      </c>
      <c r="AE25" s="30">
        <v>1</v>
      </c>
      <c r="AF25" s="30" t="s">
        <v>483</v>
      </c>
      <c r="AG25" s="30">
        <v>1</v>
      </c>
      <c r="AH25" s="30" t="s">
        <v>484</v>
      </c>
      <c r="AI25" s="30">
        <v>1</v>
      </c>
      <c r="AJ25" s="30" t="s">
        <v>485</v>
      </c>
      <c r="AK25" s="30">
        <v>1</v>
      </c>
      <c r="AL25" s="30" t="s">
        <v>486</v>
      </c>
      <c r="AM25" s="30">
        <v>1</v>
      </c>
      <c r="AN25" s="30" t="s">
        <v>487</v>
      </c>
      <c r="AO25" s="30">
        <f t="shared" si="5"/>
        <v>3</v>
      </c>
      <c r="AP25" s="30">
        <f t="shared" si="3"/>
        <v>2</v>
      </c>
      <c r="AQ25" s="30">
        <f t="shared" si="4"/>
        <v>6</v>
      </c>
      <c r="AR25" s="30" t="s">
        <v>226</v>
      </c>
      <c r="AS25" s="30" t="s">
        <v>1397</v>
      </c>
      <c r="AT25" s="30" t="s">
        <v>236</v>
      </c>
    </row>
    <row r="26" spans="1:46" s="23" customFormat="1" ht="189.75" customHeight="1">
      <c r="A26" s="30" t="s">
        <v>100</v>
      </c>
      <c r="B26" s="30" t="s">
        <v>106</v>
      </c>
      <c r="C26" s="30" t="s">
        <v>488</v>
      </c>
      <c r="D26" s="30" t="s">
        <v>208</v>
      </c>
      <c r="E26" s="30" t="s">
        <v>208</v>
      </c>
      <c r="F26" s="30" t="s">
        <v>208</v>
      </c>
      <c r="G26" s="30" t="s">
        <v>208</v>
      </c>
      <c r="H26" s="30"/>
      <c r="I26" s="30" t="s">
        <v>208</v>
      </c>
      <c r="J26" s="30" t="s">
        <v>489</v>
      </c>
      <c r="K26" s="30" t="s">
        <v>1698</v>
      </c>
      <c r="L26" s="30" t="s">
        <v>490</v>
      </c>
      <c r="M26" s="30" t="s">
        <v>491</v>
      </c>
      <c r="N26" s="30" t="s">
        <v>212</v>
      </c>
      <c r="O26" s="30">
        <v>3</v>
      </c>
      <c r="P26" s="30" t="s">
        <v>492</v>
      </c>
      <c r="Q26" s="30">
        <v>2</v>
      </c>
      <c r="R26" s="30" t="s">
        <v>493</v>
      </c>
      <c r="S26" s="30">
        <v>2</v>
      </c>
      <c r="T26" s="30" t="s">
        <v>494</v>
      </c>
      <c r="U26" s="30">
        <v>2</v>
      </c>
      <c r="V26" s="30" t="s">
        <v>495</v>
      </c>
      <c r="W26" s="30">
        <v>2</v>
      </c>
      <c r="X26" s="30" t="s">
        <v>496</v>
      </c>
      <c r="Y26" s="30">
        <f t="shared" si="9"/>
        <v>6</v>
      </c>
      <c r="Z26" s="30">
        <f t="shared" si="10"/>
        <v>5</v>
      </c>
      <c r="AA26" s="30">
        <f t="shared" si="11"/>
        <v>30</v>
      </c>
      <c r="AB26" s="30" t="s">
        <v>218</v>
      </c>
      <c r="AC26" s="30" t="s">
        <v>271</v>
      </c>
      <c r="AD26" s="30" t="s">
        <v>1493</v>
      </c>
      <c r="AE26" s="30">
        <v>2</v>
      </c>
      <c r="AF26" s="30" t="s">
        <v>497</v>
      </c>
      <c r="AG26" s="30">
        <v>1</v>
      </c>
      <c r="AH26" s="30" t="s">
        <v>498</v>
      </c>
      <c r="AI26" s="30">
        <v>1</v>
      </c>
      <c r="AJ26" s="30" t="s">
        <v>499</v>
      </c>
      <c r="AK26" s="30">
        <v>2</v>
      </c>
      <c r="AL26" s="30" t="s">
        <v>500</v>
      </c>
      <c r="AM26" s="30">
        <v>1</v>
      </c>
      <c r="AN26" s="30" t="s">
        <v>501</v>
      </c>
      <c r="AO26" s="30">
        <f t="shared" si="5"/>
        <v>3</v>
      </c>
      <c r="AP26" s="30">
        <f t="shared" si="3"/>
        <v>4</v>
      </c>
      <c r="AQ26" s="30">
        <f t="shared" si="4"/>
        <v>12</v>
      </c>
      <c r="AR26" s="30" t="s">
        <v>226</v>
      </c>
      <c r="AS26" s="30" t="s">
        <v>1396</v>
      </c>
      <c r="AT26" s="30" t="s">
        <v>236</v>
      </c>
    </row>
    <row r="27" spans="1:46" s="23" customFormat="1" ht="270.75" customHeight="1">
      <c r="A27" s="30" t="s">
        <v>100</v>
      </c>
      <c r="B27" s="30" t="s">
        <v>107</v>
      </c>
      <c r="C27" s="30" t="s">
        <v>502</v>
      </c>
      <c r="D27" s="30" t="s">
        <v>208</v>
      </c>
      <c r="E27" s="30" t="s">
        <v>208</v>
      </c>
      <c r="F27" s="30" t="s">
        <v>208</v>
      </c>
      <c r="G27" s="30" t="s">
        <v>208</v>
      </c>
      <c r="H27" s="30" t="s">
        <v>208</v>
      </c>
      <c r="I27" s="30" t="s">
        <v>208</v>
      </c>
      <c r="J27" s="30" t="s">
        <v>503</v>
      </c>
      <c r="K27" s="30" t="s">
        <v>1699</v>
      </c>
      <c r="L27" s="30" t="s">
        <v>504</v>
      </c>
      <c r="M27" s="30" t="s">
        <v>505</v>
      </c>
      <c r="N27" s="30" t="s">
        <v>212</v>
      </c>
      <c r="O27" s="30">
        <v>3</v>
      </c>
      <c r="P27" s="30" t="s">
        <v>506</v>
      </c>
      <c r="Q27" s="30">
        <v>3</v>
      </c>
      <c r="R27" s="30" t="s">
        <v>507</v>
      </c>
      <c r="S27" s="30">
        <v>2</v>
      </c>
      <c r="T27" s="30" t="s">
        <v>508</v>
      </c>
      <c r="U27" s="30">
        <v>2</v>
      </c>
      <c r="V27" s="30" t="s">
        <v>509</v>
      </c>
      <c r="W27" s="30">
        <v>2</v>
      </c>
      <c r="X27" s="30" t="s">
        <v>510</v>
      </c>
      <c r="Y27" s="30">
        <f t="shared" si="9"/>
        <v>7</v>
      </c>
      <c r="Z27" s="30">
        <f t="shared" si="10"/>
        <v>5</v>
      </c>
      <c r="AA27" s="30">
        <f t="shared" si="11"/>
        <v>35</v>
      </c>
      <c r="AB27" s="30" t="s">
        <v>287</v>
      </c>
      <c r="AC27" s="30" t="s">
        <v>271</v>
      </c>
      <c r="AD27" s="30" t="s">
        <v>1735</v>
      </c>
      <c r="AE27" s="30">
        <v>1</v>
      </c>
      <c r="AF27" s="30" t="s">
        <v>511</v>
      </c>
      <c r="AG27" s="30">
        <v>1</v>
      </c>
      <c r="AH27" s="30" t="s">
        <v>512</v>
      </c>
      <c r="AI27" s="30">
        <v>1</v>
      </c>
      <c r="AJ27" s="30" t="s">
        <v>513</v>
      </c>
      <c r="AK27" s="30">
        <v>1</v>
      </c>
      <c r="AL27" s="30" t="s">
        <v>514</v>
      </c>
      <c r="AM27" s="30">
        <v>1</v>
      </c>
      <c r="AN27" s="30" t="s">
        <v>515</v>
      </c>
      <c r="AO27" s="30">
        <f t="shared" si="5"/>
        <v>3</v>
      </c>
      <c r="AP27" s="30">
        <f t="shared" si="3"/>
        <v>2</v>
      </c>
      <c r="AQ27" s="30">
        <f t="shared" si="4"/>
        <v>6</v>
      </c>
      <c r="AR27" s="30" t="s">
        <v>226</v>
      </c>
      <c r="AS27" s="30" t="s">
        <v>1398</v>
      </c>
      <c r="AT27" s="30" t="s">
        <v>516</v>
      </c>
    </row>
    <row r="28" spans="1:46" s="23" customFormat="1" ht="214.5" customHeight="1">
      <c r="A28" s="32" t="s">
        <v>108</v>
      </c>
      <c r="B28" s="30" t="s">
        <v>107</v>
      </c>
      <c r="C28" s="30" t="s">
        <v>517</v>
      </c>
      <c r="D28" s="30" t="s">
        <v>208</v>
      </c>
      <c r="E28" s="30" t="s">
        <v>208</v>
      </c>
      <c r="F28" s="30" t="s">
        <v>319</v>
      </c>
      <c r="G28" s="30" t="s">
        <v>319</v>
      </c>
      <c r="H28" s="30" t="s">
        <v>208</v>
      </c>
      <c r="I28" s="30" t="s">
        <v>319</v>
      </c>
      <c r="J28" s="30" t="s">
        <v>518</v>
      </c>
      <c r="K28" s="30" t="s">
        <v>1700</v>
      </c>
      <c r="L28" s="30" t="s">
        <v>519</v>
      </c>
      <c r="M28" s="30" t="s">
        <v>520</v>
      </c>
      <c r="N28" s="30" t="s">
        <v>212</v>
      </c>
      <c r="O28" s="30">
        <v>3</v>
      </c>
      <c r="P28" s="30" t="s">
        <v>521</v>
      </c>
      <c r="Q28" s="30">
        <v>2</v>
      </c>
      <c r="R28" s="30" t="s">
        <v>522</v>
      </c>
      <c r="S28" s="30">
        <v>1</v>
      </c>
      <c r="T28" s="30" t="s">
        <v>523</v>
      </c>
      <c r="U28" s="30">
        <v>2</v>
      </c>
      <c r="V28" s="30" t="s">
        <v>524</v>
      </c>
      <c r="W28" s="30">
        <v>2</v>
      </c>
      <c r="X28" s="30" t="s">
        <v>525</v>
      </c>
      <c r="Y28" s="30">
        <f t="shared" si="9"/>
        <v>5</v>
      </c>
      <c r="Z28" s="30">
        <f t="shared" si="10"/>
        <v>5</v>
      </c>
      <c r="AA28" s="30">
        <f t="shared" si="11"/>
        <v>25</v>
      </c>
      <c r="AB28" s="30" t="s">
        <v>218</v>
      </c>
      <c r="AC28" s="30" t="s">
        <v>271</v>
      </c>
      <c r="AD28" s="30" t="s">
        <v>1492</v>
      </c>
      <c r="AE28" s="30">
        <v>1</v>
      </c>
      <c r="AF28" s="30" t="s">
        <v>526</v>
      </c>
      <c r="AG28" s="30">
        <v>1</v>
      </c>
      <c r="AH28" s="30" t="s">
        <v>527</v>
      </c>
      <c r="AI28" s="30">
        <v>1</v>
      </c>
      <c r="AJ28" s="30" t="s">
        <v>528</v>
      </c>
      <c r="AK28" s="30">
        <v>2</v>
      </c>
      <c r="AL28" s="30" t="s">
        <v>529</v>
      </c>
      <c r="AM28" s="30">
        <v>1</v>
      </c>
      <c r="AN28" s="30" t="s">
        <v>530</v>
      </c>
      <c r="AO28" s="30">
        <f t="shared" si="5"/>
        <v>3</v>
      </c>
      <c r="AP28" s="30">
        <f t="shared" si="3"/>
        <v>3</v>
      </c>
      <c r="AQ28" s="30">
        <f t="shared" si="4"/>
        <v>9</v>
      </c>
      <c r="AR28" s="30" t="s">
        <v>226</v>
      </c>
      <c r="AS28" s="30" t="s">
        <v>1399</v>
      </c>
      <c r="AT28" s="30" t="s">
        <v>531</v>
      </c>
    </row>
    <row r="29" spans="1:46" s="23" customFormat="1" ht="378.5" customHeight="1">
      <c r="A29" s="30" t="s">
        <v>108</v>
      </c>
      <c r="B29" s="30" t="s">
        <v>109</v>
      </c>
      <c r="C29" s="30" t="s">
        <v>532</v>
      </c>
      <c r="D29" s="30" t="s">
        <v>208</v>
      </c>
      <c r="E29" s="30" t="s">
        <v>208</v>
      </c>
      <c r="F29" s="30" t="s">
        <v>208</v>
      </c>
      <c r="G29" s="30" t="s">
        <v>208</v>
      </c>
      <c r="H29" s="30" t="s">
        <v>208</v>
      </c>
      <c r="I29" s="30" t="s">
        <v>319</v>
      </c>
      <c r="J29" s="30" t="s">
        <v>447</v>
      </c>
      <c r="K29" s="30" t="s">
        <v>1701</v>
      </c>
      <c r="L29" s="30" t="s">
        <v>533</v>
      </c>
      <c r="M29" s="30" t="s">
        <v>534</v>
      </c>
      <c r="N29" s="30" t="s">
        <v>251</v>
      </c>
      <c r="O29" s="30">
        <v>3</v>
      </c>
      <c r="P29" s="30" t="s">
        <v>535</v>
      </c>
      <c r="Q29" s="30">
        <v>2</v>
      </c>
      <c r="R29" s="30" t="s">
        <v>536</v>
      </c>
      <c r="S29" s="30">
        <v>2</v>
      </c>
      <c r="T29" s="30" t="s">
        <v>537</v>
      </c>
      <c r="U29" s="30">
        <v>1</v>
      </c>
      <c r="V29" s="30" t="s">
        <v>538</v>
      </c>
      <c r="W29" s="30">
        <v>1</v>
      </c>
      <c r="X29" s="30" t="s">
        <v>539</v>
      </c>
      <c r="Y29" s="30">
        <v>5</v>
      </c>
      <c r="Z29" s="30">
        <v>4</v>
      </c>
      <c r="AA29" s="30">
        <v>20</v>
      </c>
      <c r="AB29" s="30" t="s">
        <v>218</v>
      </c>
      <c r="AC29" s="30" t="s">
        <v>271</v>
      </c>
      <c r="AD29" s="30" t="s">
        <v>1660</v>
      </c>
      <c r="AE29" s="30">
        <v>2</v>
      </c>
      <c r="AF29" s="30" t="s">
        <v>540</v>
      </c>
      <c r="AG29" s="30">
        <v>1</v>
      </c>
      <c r="AH29" s="30" t="s">
        <v>541</v>
      </c>
      <c r="AI29" s="30">
        <v>1</v>
      </c>
      <c r="AJ29" s="30" t="s">
        <v>542</v>
      </c>
      <c r="AK29" s="30">
        <v>1</v>
      </c>
      <c r="AL29" s="30" t="s">
        <v>543</v>
      </c>
      <c r="AM29" s="30">
        <v>1</v>
      </c>
      <c r="AN29" s="30" t="s">
        <v>544</v>
      </c>
      <c r="AO29" s="30">
        <f t="shared" si="5"/>
        <v>3</v>
      </c>
      <c r="AP29" s="30">
        <f t="shared" si="3"/>
        <v>3</v>
      </c>
      <c r="AQ29" s="30">
        <f t="shared" si="4"/>
        <v>9</v>
      </c>
      <c r="AR29" s="30" t="s">
        <v>226</v>
      </c>
      <c r="AS29" s="30" t="s">
        <v>1380</v>
      </c>
      <c r="AT29" s="30" t="s">
        <v>545</v>
      </c>
    </row>
    <row r="30" spans="1:46" ht="267.7" customHeight="1">
      <c r="A30" s="30" t="s">
        <v>110</v>
      </c>
      <c r="B30" s="30" t="s">
        <v>111</v>
      </c>
      <c r="C30" s="30" t="s">
        <v>546</v>
      </c>
      <c r="D30" s="30" t="s">
        <v>208</v>
      </c>
      <c r="E30" s="30" t="s">
        <v>208</v>
      </c>
      <c r="F30" s="30" t="s">
        <v>319</v>
      </c>
      <c r="G30" s="30" t="s">
        <v>208</v>
      </c>
      <c r="H30" s="30" t="s">
        <v>319</v>
      </c>
      <c r="I30" s="30" t="s">
        <v>319</v>
      </c>
      <c r="J30" s="30" t="s">
        <v>379</v>
      </c>
      <c r="K30" s="30" t="s">
        <v>1702</v>
      </c>
      <c r="L30" s="30" t="s">
        <v>547</v>
      </c>
      <c r="M30" s="30" t="s">
        <v>548</v>
      </c>
      <c r="N30" s="30" t="s">
        <v>549</v>
      </c>
      <c r="O30" s="30">
        <v>2</v>
      </c>
      <c r="P30" s="30" t="s">
        <v>550</v>
      </c>
      <c r="Q30" s="30">
        <v>3</v>
      </c>
      <c r="R30" s="30" t="s">
        <v>551</v>
      </c>
      <c r="S30" s="30">
        <v>2</v>
      </c>
      <c r="T30" s="30" t="s">
        <v>552</v>
      </c>
      <c r="U30" s="30">
        <v>2</v>
      </c>
      <c r="V30" s="30" t="s">
        <v>553</v>
      </c>
      <c r="W30" s="30">
        <v>2</v>
      </c>
      <c r="X30" s="30" t="s">
        <v>554</v>
      </c>
      <c r="Y30" s="30">
        <v>7</v>
      </c>
      <c r="Z30" s="30">
        <v>4</v>
      </c>
      <c r="AA30" s="30">
        <v>28</v>
      </c>
      <c r="AB30" s="30" t="s">
        <v>218</v>
      </c>
      <c r="AC30" s="30" t="s">
        <v>271</v>
      </c>
      <c r="AD30" s="30" t="s">
        <v>1651</v>
      </c>
      <c r="AE30" s="30">
        <v>1</v>
      </c>
      <c r="AF30" s="30" t="s">
        <v>555</v>
      </c>
      <c r="AG30" s="30">
        <v>1</v>
      </c>
      <c r="AH30" s="30" t="s">
        <v>556</v>
      </c>
      <c r="AI30" s="30">
        <v>1</v>
      </c>
      <c r="AJ30" s="30" t="s">
        <v>557</v>
      </c>
      <c r="AK30" s="30">
        <v>2</v>
      </c>
      <c r="AL30" s="30" t="s">
        <v>558</v>
      </c>
      <c r="AM30" s="30">
        <v>1</v>
      </c>
      <c r="AN30" s="30" t="s">
        <v>559</v>
      </c>
      <c r="AO30" s="30">
        <f t="shared" si="5"/>
        <v>3</v>
      </c>
      <c r="AP30" s="30">
        <f t="shared" si="3"/>
        <v>3</v>
      </c>
      <c r="AQ30" s="30">
        <f t="shared" si="4"/>
        <v>9</v>
      </c>
      <c r="AR30" s="30" t="s">
        <v>226</v>
      </c>
      <c r="AS30" s="30" t="s">
        <v>1400</v>
      </c>
      <c r="AT30" s="30" t="s">
        <v>560</v>
      </c>
    </row>
    <row r="31" spans="1:46" ht="175.5">
      <c r="A31" s="30" t="s">
        <v>112</v>
      </c>
      <c r="B31" s="30" t="s">
        <v>113</v>
      </c>
      <c r="C31" s="30" t="s">
        <v>561</v>
      </c>
      <c r="D31" s="30" t="s">
        <v>208</v>
      </c>
      <c r="E31" s="30" t="s">
        <v>208</v>
      </c>
      <c r="F31" s="30" t="s">
        <v>319</v>
      </c>
      <c r="G31" s="30" t="s">
        <v>208</v>
      </c>
      <c r="H31" s="30" t="s">
        <v>319</v>
      </c>
      <c r="I31" s="30" t="s">
        <v>319</v>
      </c>
      <c r="J31" s="30" t="s">
        <v>379</v>
      </c>
      <c r="K31" s="30" t="s">
        <v>1703</v>
      </c>
      <c r="L31" s="30" t="s">
        <v>562</v>
      </c>
      <c r="M31" s="30" t="s">
        <v>563</v>
      </c>
      <c r="N31" s="30" t="s">
        <v>366</v>
      </c>
      <c r="O31" s="30">
        <v>2</v>
      </c>
      <c r="P31" s="30" t="s">
        <v>564</v>
      </c>
      <c r="Q31" s="30">
        <v>3</v>
      </c>
      <c r="R31" s="30" t="s">
        <v>565</v>
      </c>
      <c r="S31" s="30">
        <v>2</v>
      </c>
      <c r="T31" s="30" t="s">
        <v>566</v>
      </c>
      <c r="U31" s="30">
        <v>3</v>
      </c>
      <c r="V31" s="30" t="s">
        <v>567</v>
      </c>
      <c r="W31" s="30">
        <v>2</v>
      </c>
      <c r="X31" s="30" t="s">
        <v>568</v>
      </c>
      <c r="Y31" s="30">
        <f>Q31+S31+W31</f>
        <v>7</v>
      </c>
      <c r="Z31" s="30">
        <f>O31+U31</f>
        <v>5</v>
      </c>
      <c r="AA31" s="30">
        <f>Y31*Z31</f>
        <v>35</v>
      </c>
      <c r="AB31" s="30" t="s">
        <v>287</v>
      </c>
      <c r="AC31" s="30" t="s">
        <v>271</v>
      </c>
      <c r="AD31" s="30" t="s">
        <v>1537</v>
      </c>
      <c r="AE31" s="30">
        <v>1</v>
      </c>
      <c r="AF31" s="30" t="s">
        <v>569</v>
      </c>
      <c r="AG31" s="30">
        <v>1</v>
      </c>
      <c r="AH31" s="30" t="s">
        <v>570</v>
      </c>
      <c r="AI31" s="30">
        <v>1</v>
      </c>
      <c r="AJ31" s="30" t="s">
        <v>571</v>
      </c>
      <c r="AK31" s="30">
        <v>2</v>
      </c>
      <c r="AL31" s="30" t="s">
        <v>572</v>
      </c>
      <c r="AM31" s="30">
        <v>1</v>
      </c>
      <c r="AN31" s="30" t="s">
        <v>573</v>
      </c>
      <c r="AO31" s="30">
        <f t="shared" si="5"/>
        <v>3</v>
      </c>
      <c r="AP31" s="30">
        <f t="shared" si="3"/>
        <v>3</v>
      </c>
      <c r="AQ31" s="30">
        <f t="shared" si="4"/>
        <v>9</v>
      </c>
      <c r="AR31" s="30" t="s">
        <v>226</v>
      </c>
      <c r="AS31" s="30" t="s">
        <v>1402</v>
      </c>
      <c r="AT31" s="30" t="s">
        <v>236</v>
      </c>
    </row>
    <row r="32" spans="1:46" ht="216.75" customHeight="1">
      <c r="A32" s="29" t="s">
        <v>114</v>
      </c>
      <c r="B32" s="32" t="s">
        <v>115</v>
      </c>
      <c r="C32" s="32" t="s">
        <v>574</v>
      </c>
      <c r="D32" s="32" t="s">
        <v>319</v>
      </c>
      <c r="E32" s="32" t="s">
        <v>319</v>
      </c>
      <c r="F32" s="32" t="s">
        <v>208</v>
      </c>
      <c r="G32" s="32" t="s">
        <v>319</v>
      </c>
      <c r="H32" s="32" t="s">
        <v>319</v>
      </c>
      <c r="I32" s="32" t="s">
        <v>319</v>
      </c>
      <c r="J32" s="32" t="s">
        <v>575</v>
      </c>
      <c r="K32" s="32" t="s">
        <v>1704</v>
      </c>
      <c r="L32" s="32" t="s">
        <v>576</v>
      </c>
      <c r="M32" s="32" t="s">
        <v>577</v>
      </c>
      <c r="N32" s="32" t="s">
        <v>251</v>
      </c>
      <c r="O32" s="32">
        <v>2</v>
      </c>
      <c r="P32" s="32" t="s">
        <v>578</v>
      </c>
      <c r="Q32" s="32">
        <v>3</v>
      </c>
      <c r="R32" s="32" t="s">
        <v>579</v>
      </c>
      <c r="S32" s="32">
        <v>2</v>
      </c>
      <c r="T32" s="32" t="s">
        <v>580</v>
      </c>
      <c r="U32" s="32">
        <v>2</v>
      </c>
      <c r="V32" s="32" t="s">
        <v>581</v>
      </c>
      <c r="W32" s="32">
        <v>2</v>
      </c>
      <c r="X32" s="32" t="s">
        <v>582</v>
      </c>
      <c r="Y32" s="32">
        <v>7</v>
      </c>
      <c r="Z32" s="32">
        <v>4</v>
      </c>
      <c r="AA32" s="32">
        <v>28</v>
      </c>
      <c r="AB32" s="32" t="s">
        <v>218</v>
      </c>
      <c r="AC32" s="30" t="s">
        <v>271</v>
      </c>
      <c r="AD32" s="30" t="s">
        <v>1477</v>
      </c>
      <c r="AE32" s="32">
        <v>2</v>
      </c>
      <c r="AF32" s="32" t="s">
        <v>583</v>
      </c>
      <c r="AG32" s="32">
        <v>1</v>
      </c>
      <c r="AH32" s="32" t="s">
        <v>584</v>
      </c>
      <c r="AI32" s="32">
        <v>2</v>
      </c>
      <c r="AJ32" s="32" t="s">
        <v>585</v>
      </c>
      <c r="AK32" s="32">
        <v>2</v>
      </c>
      <c r="AL32" s="32" t="s">
        <v>586</v>
      </c>
      <c r="AM32" s="32">
        <v>1</v>
      </c>
      <c r="AN32" s="32" t="s">
        <v>587</v>
      </c>
      <c r="AO32" s="30">
        <f t="shared" si="5"/>
        <v>4</v>
      </c>
      <c r="AP32" s="30">
        <f t="shared" si="3"/>
        <v>4</v>
      </c>
      <c r="AQ32" s="30">
        <f t="shared" si="4"/>
        <v>16</v>
      </c>
      <c r="AR32" s="30" t="s">
        <v>226</v>
      </c>
      <c r="AS32" s="32" t="s">
        <v>1403</v>
      </c>
      <c r="AT32" s="32" t="s">
        <v>588</v>
      </c>
    </row>
    <row r="33" spans="1:46" ht="110.25" customHeight="1">
      <c r="A33" s="30" t="s">
        <v>116</v>
      </c>
      <c r="B33" s="30" t="s">
        <v>117</v>
      </c>
      <c r="C33" s="30" t="s">
        <v>589</v>
      </c>
      <c r="D33" s="30" t="s">
        <v>208</v>
      </c>
      <c r="E33" s="30" t="s">
        <v>208</v>
      </c>
      <c r="F33" s="30" t="s">
        <v>319</v>
      </c>
      <c r="G33" s="30" t="s">
        <v>208</v>
      </c>
      <c r="H33" s="30" t="s">
        <v>319</v>
      </c>
      <c r="I33" s="30" t="s">
        <v>319</v>
      </c>
      <c r="J33" s="30" t="s">
        <v>379</v>
      </c>
      <c r="K33" s="30" t="s">
        <v>1705</v>
      </c>
      <c r="L33" s="30" t="s">
        <v>590</v>
      </c>
      <c r="M33" s="30" t="s">
        <v>591</v>
      </c>
      <c r="N33" s="30" t="s">
        <v>592</v>
      </c>
      <c r="O33" s="30">
        <v>2</v>
      </c>
      <c r="P33" s="30" t="s">
        <v>593</v>
      </c>
      <c r="Q33" s="30">
        <v>2</v>
      </c>
      <c r="R33" s="30" t="s">
        <v>594</v>
      </c>
      <c r="S33" s="30">
        <v>2</v>
      </c>
      <c r="T33" s="30" t="s">
        <v>595</v>
      </c>
      <c r="U33" s="30">
        <v>2</v>
      </c>
      <c r="V33" s="30" t="s">
        <v>596</v>
      </c>
      <c r="W33" s="30">
        <v>1</v>
      </c>
      <c r="X33" s="30" t="s">
        <v>597</v>
      </c>
      <c r="Y33" s="30">
        <f>Q33+S33+W33</f>
        <v>5</v>
      </c>
      <c r="Z33" s="30">
        <f>O33+U33</f>
        <v>4</v>
      </c>
      <c r="AA33" s="30">
        <f>Y33*Z33</f>
        <v>20</v>
      </c>
      <c r="AB33" s="30" t="s">
        <v>218</v>
      </c>
      <c r="AC33" s="30" t="s">
        <v>271</v>
      </c>
      <c r="AD33" s="30" t="s">
        <v>1478</v>
      </c>
      <c r="AE33" s="30">
        <v>1</v>
      </c>
      <c r="AF33" s="30" t="s">
        <v>598</v>
      </c>
      <c r="AG33" s="30">
        <v>1</v>
      </c>
      <c r="AH33" s="30" t="s">
        <v>599</v>
      </c>
      <c r="AI33" s="30">
        <v>1</v>
      </c>
      <c r="AJ33" s="30" t="s">
        <v>600</v>
      </c>
      <c r="AK33" s="30">
        <v>2</v>
      </c>
      <c r="AL33" s="30" t="s">
        <v>601</v>
      </c>
      <c r="AM33" s="30">
        <v>1</v>
      </c>
      <c r="AN33" s="30" t="s">
        <v>602</v>
      </c>
      <c r="AO33" s="30">
        <f t="shared" si="5"/>
        <v>3</v>
      </c>
      <c r="AP33" s="30">
        <f t="shared" si="3"/>
        <v>3</v>
      </c>
      <c r="AQ33" s="30">
        <f t="shared" si="4"/>
        <v>9</v>
      </c>
      <c r="AR33" s="30" t="s">
        <v>226</v>
      </c>
      <c r="AS33" s="30" t="s">
        <v>1404</v>
      </c>
      <c r="AT33" s="30" t="s">
        <v>603</v>
      </c>
    </row>
    <row r="34" spans="1:46" ht="122.25" customHeight="1">
      <c r="A34" s="29" t="s">
        <v>118</v>
      </c>
      <c r="B34" s="32" t="s">
        <v>119</v>
      </c>
      <c r="C34" s="32" t="s">
        <v>604</v>
      </c>
      <c r="D34" s="32" t="s">
        <v>208</v>
      </c>
      <c r="E34" s="32" t="s">
        <v>208</v>
      </c>
      <c r="F34" s="32" t="s">
        <v>208</v>
      </c>
      <c r="G34" s="32" t="s">
        <v>319</v>
      </c>
      <c r="H34" s="32" t="s">
        <v>319</v>
      </c>
      <c r="I34" s="32" t="s">
        <v>319</v>
      </c>
      <c r="J34" s="32" t="s">
        <v>605</v>
      </c>
      <c r="K34" s="32" t="s">
        <v>1706</v>
      </c>
      <c r="L34" s="32" t="s">
        <v>606</v>
      </c>
      <c r="M34" s="32" t="s">
        <v>607</v>
      </c>
      <c r="N34" s="32" t="s">
        <v>428</v>
      </c>
      <c r="O34" s="32">
        <v>2</v>
      </c>
      <c r="P34" s="32" t="s">
        <v>608</v>
      </c>
      <c r="Q34" s="32">
        <v>2</v>
      </c>
      <c r="R34" s="32" t="s">
        <v>609</v>
      </c>
      <c r="S34" s="32">
        <v>1</v>
      </c>
      <c r="T34" s="32" t="s">
        <v>610</v>
      </c>
      <c r="U34" s="32">
        <v>2</v>
      </c>
      <c r="V34" s="34" t="s">
        <v>611</v>
      </c>
      <c r="W34" s="32">
        <v>2</v>
      </c>
      <c r="X34" s="32" t="s">
        <v>612</v>
      </c>
      <c r="Y34" s="32">
        <v>5</v>
      </c>
      <c r="Z34" s="32">
        <v>4</v>
      </c>
      <c r="AA34" s="32">
        <v>20</v>
      </c>
      <c r="AB34" s="32" t="s">
        <v>218</v>
      </c>
      <c r="AC34" s="30" t="s">
        <v>220</v>
      </c>
      <c r="AD34" s="32" t="s">
        <v>1479</v>
      </c>
      <c r="AE34" s="32">
        <v>1</v>
      </c>
      <c r="AF34" s="32" t="s">
        <v>613</v>
      </c>
      <c r="AG34" s="32">
        <v>2</v>
      </c>
      <c r="AH34" s="32" t="s">
        <v>614</v>
      </c>
      <c r="AI34" s="32">
        <v>1</v>
      </c>
      <c r="AJ34" s="32" t="s">
        <v>615</v>
      </c>
      <c r="AK34" s="32">
        <v>2</v>
      </c>
      <c r="AL34" s="32" t="s">
        <v>616</v>
      </c>
      <c r="AM34" s="32">
        <v>1</v>
      </c>
      <c r="AN34" s="32" t="s">
        <v>617</v>
      </c>
      <c r="AO34" s="30">
        <f t="shared" si="5"/>
        <v>4</v>
      </c>
      <c r="AP34" s="30">
        <f t="shared" si="3"/>
        <v>3</v>
      </c>
      <c r="AQ34" s="30">
        <f t="shared" si="4"/>
        <v>12</v>
      </c>
      <c r="AR34" s="30" t="s">
        <v>226</v>
      </c>
      <c r="AS34" s="32" t="s">
        <v>1405</v>
      </c>
      <c r="AT34" s="32" t="s">
        <v>618</v>
      </c>
    </row>
    <row r="35" spans="1:46" ht="135.75" customHeight="1">
      <c r="A35" s="32" t="s">
        <v>120</v>
      </c>
      <c r="B35" s="30" t="s">
        <v>121</v>
      </c>
      <c r="C35" s="30" t="s">
        <v>619</v>
      </c>
      <c r="D35" s="31" t="s">
        <v>319</v>
      </c>
      <c r="E35" s="30" t="s">
        <v>208</v>
      </c>
      <c r="F35" s="30" t="s">
        <v>208</v>
      </c>
      <c r="G35" s="30" t="s">
        <v>319</v>
      </c>
      <c r="H35" s="30" t="s">
        <v>319</v>
      </c>
      <c r="I35" s="30" t="s">
        <v>319</v>
      </c>
      <c r="J35" s="30" t="s">
        <v>620</v>
      </c>
      <c r="K35" s="30" t="s">
        <v>1707</v>
      </c>
      <c r="L35" s="30" t="s">
        <v>621</v>
      </c>
      <c r="M35" s="30" t="s">
        <v>622</v>
      </c>
      <c r="N35" s="30" t="s">
        <v>212</v>
      </c>
      <c r="O35" s="30">
        <v>2</v>
      </c>
      <c r="P35" s="30" t="s">
        <v>623</v>
      </c>
      <c r="Q35" s="30">
        <v>3</v>
      </c>
      <c r="R35" s="30" t="s">
        <v>624</v>
      </c>
      <c r="S35" s="30">
        <v>2</v>
      </c>
      <c r="T35" s="30" t="s">
        <v>625</v>
      </c>
      <c r="U35" s="30">
        <v>2</v>
      </c>
      <c r="V35" s="30" t="s">
        <v>626</v>
      </c>
      <c r="W35" s="30">
        <v>2</v>
      </c>
      <c r="X35" s="30" t="s">
        <v>627</v>
      </c>
      <c r="Y35" s="30">
        <f t="shared" ref="Y35:Y42" si="12">Q35+S35+W35</f>
        <v>7</v>
      </c>
      <c r="Z35" s="30">
        <f t="shared" ref="Z35:Z42" si="13">O35+U35</f>
        <v>4</v>
      </c>
      <c r="AA35" s="30">
        <f t="shared" ref="AA35:AA42" si="14">Y35*Z35</f>
        <v>28</v>
      </c>
      <c r="AB35" s="30" t="s">
        <v>218</v>
      </c>
      <c r="AC35" s="30" t="s">
        <v>220</v>
      </c>
      <c r="AD35" s="30" t="s">
        <v>1491</v>
      </c>
      <c r="AE35" s="30">
        <v>1</v>
      </c>
      <c r="AF35" s="30" t="s">
        <v>628</v>
      </c>
      <c r="AG35" s="30">
        <v>1</v>
      </c>
      <c r="AH35" s="30" t="s">
        <v>629</v>
      </c>
      <c r="AI35" s="30">
        <v>1</v>
      </c>
      <c r="AJ35" s="30" t="s">
        <v>630</v>
      </c>
      <c r="AK35" s="30">
        <v>2</v>
      </c>
      <c r="AL35" s="30" t="s">
        <v>631</v>
      </c>
      <c r="AM35" s="30">
        <v>1</v>
      </c>
      <c r="AN35" s="30" t="s">
        <v>632</v>
      </c>
      <c r="AO35" s="30">
        <f t="shared" si="5"/>
        <v>3</v>
      </c>
      <c r="AP35" s="30">
        <f t="shared" si="3"/>
        <v>3</v>
      </c>
      <c r="AQ35" s="30">
        <f t="shared" si="4"/>
        <v>9</v>
      </c>
      <c r="AR35" s="30" t="s">
        <v>226</v>
      </c>
      <c r="AS35" s="30" t="s">
        <v>1405</v>
      </c>
      <c r="AT35" s="30" t="s">
        <v>633</v>
      </c>
    </row>
    <row r="36" spans="1:46" ht="312.75" customHeight="1">
      <c r="A36" s="30" t="s">
        <v>122</v>
      </c>
      <c r="B36" s="30" t="s">
        <v>123</v>
      </c>
      <c r="C36" s="30" t="s">
        <v>634</v>
      </c>
      <c r="D36" s="30" t="s">
        <v>208</v>
      </c>
      <c r="E36" s="30" t="s">
        <v>208</v>
      </c>
      <c r="F36" s="30" t="s">
        <v>208</v>
      </c>
      <c r="G36" s="30" t="s">
        <v>208</v>
      </c>
      <c r="H36" s="30" t="s">
        <v>208</v>
      </c>
      <c r="I36" s="30" t="s">
        <v>319</v>
      </c>
      <c r="J36" s="30" t="s">
        <v>447</v>
      </c>
      <c r="K36" s="30" t="s">
        <v>1708</v>
      </c>
      <c r="L36" s="30" t="s">
        <v>635</v>
      </c>
      <c r="M36" s="30" t="s">
        <v>636</v>
      </c>
      <c r="N36" s="30" t="s">
        <v>212</v>
      </c>
      <c r="O36" s="30">
        <v>3</v>
      </c>
      <c r="P36" s="30" t="s">
        <v>637</v>
      </c>
      <c r="Q36" s="30">
        <v>3</v>
      </c>
      <c r="R36" s="30" t="s">
        <v>638</v>
      </c>
      <c r="S36" s="30">
        <v>2</v>
      </c>
      <c r="T36" s="30" t="s">
        <v>639</v>
      </c>
      <c r="U36" s="30">
        <v>2</v>
      </c>
      <c r="V36" s="30" t="s">
        <v>640</v>
      </c>
      <c r="W36" s="30">
        <v>2</v>
      </c>
      <c r="X36" s="30" t="s">
        <v>641</v>
      </c>
      <c r="Y36" s="30">
        <f t="shared" si="12"/>
        <v>7</v>
      </c>
      <c r="Z36" s="30">
        <f t="shared" si="13"/>
        <v>5</v>
      </c>
      <c r="AA36" s="30">
        <f t="shared" si="14"/>
        <v>35</v>
      </c>
      <c r="AB36" s="30" t="s">
        <v>287</v>
      </c>
      <c r="AC36" s="30" t="s">
        <v>220</v>
      </c>
      <c r="AD36" s="30" t="s">
        <v>1480</v>
      </c>
      <c r="AE36" s="30">
        <v>2</v>
      </c>
      <c r="AF36" s="30" t="s">
        <v>642</v>
      </c>
      <c r="AG36" s="30">
        <v>1</v>
      </c>
      <c r="AH36" s="30" t="s">
        <v>643</v>
      </c>
      <c r="AI36" s="30">
        <v>1</v>
      </c>
      <c r="AJ36" s="30" t="s">
        <v>644</v>
      </c>
      <c r="AK36" s="30">
        <v>2</v>
      </c>
      <c r="AL36" s="30" t="s">
        <v>645</v>
      </c>
      <c r="AM36" s="30">
        <v>1</v>
      </c>
      <c r="AN36" s="30" t="s">
        <v>646</v>
      </c>
      <c r="AO36" s="30">
        <f t="shared" si="5"/>
        <v>3</v>
      </c>
      <c r="AP36" s="30">
        <f t="shared" si="3"/>
        <v>4</v>
      </c>
      <c r="AQ36" s="30">
        <f t="shared" si="4"/>
        <v>12</v>
      </c>
      <c r="AR36" s="30" t="s">
        <v>226</v>
      </c>
      <c r="AS36" s="32" t="s">
        <v>1406</v>
      </c>
      <c r="AT36" s="30" t="s">
        <v>647</v>
      </c>
    </row>
    <row r="37" spans="1:46" ht="235.15" customHeight="1">
      <c r="A37" s="29" t="s">
        <v>122</v>
      </c>
      <c r="B37" s="32" t="s">
        <v>123</v>
      </c>
      <c r="C37" s="32" t="s">
        <v>634</v>
      </c>
      <c r="D37" s="32" t="s">
        <v>208</v>
      </c>
      <c r="E37" s="32" t="s">
        <v>208</v>
      </c>
      <c r="F37" s="32" t="s">
        <v>208</v>
      </c>
      <c r="G37" s="32" t="s">
        <v>208</v>
      </c>
      <c r="H37" s="32" t="s">
        <v>208</v>
      </c>
      <c r="I37" s="32" t="s">
        <v>319</v>
      </c>
      <c r="J37" s="30" t="s">
        <v>447</v>
      </c>
      <c r="K37" s="32" t="s">
        <v>1709</v>
      </c>
      <c r="L37" s="32" t="s">
        <v>648</v>
      </c>
      <c r="M37" s="30" t="s">
        <v>649</v>
      </c>
      <c r="N37" s="32" t="s">
        <v>212</v>
      </c>
      <c r="O37" s="32">
        <v>3</v>
      </c>
      <c r="P37" s="32" t="s">
        <v>650</v>
      </c>
      <c r="Q37" s="32">
        <v>3</v>
      </c>
      <c r="R37" s="32" t="s">
        <v>638</v>
      </c>
      <c r="S37" s="32">
        <v>2</v>
      </c>
      <c r="T37" s="32" t="s">
        <v>651</v>
      </c>
      <c r="U37" s="32">
        <v>2</v>
      </c>
      <c r="V37" s="32" t="s">
        <v>652</v>
      </c>
      <c r="W37" s="32">
        <v>2</v>
      </c>
      <c r="X37" s="32" t="s">
        <v>653</v>
      </c>
      <c r="Y37" s="30">
        <f t="shared" si="12"/>
        <v>7</v>
      </c>
      <c r="Z37" s="30">
        <f t="shared" si="13"/>
        <v>5</v>
      </c>
      <c r="AA37" s="30">
        <f t="shared" si="14"/>
        <v>35</v>
      </c>
      <c r="AB37" s="30" t="s">
        <v>287</v>
      </c>
      <c r="AC37" s="32" t="s">
        <v>220</v>
      </c>
      <c r="AD37" s="30" t="s">
        <v>1480</v>
      </c>
      <c r="AE37" s="32">
        <v>2</v>
      </c>
      <c r="AF37" s="32" t="s">
        <v>654</v>
      </c>
      <c r="AG37" s="32">
        <v>1</v>
      </c>
      <c r="AH37" s="32" t="s">
        <v>655</v>
      </c>
      <c r="AI37" s="32">
        <v>1</v>
      </c>
      <c r="AJ37" s="32" t="s">
        <v>656</v>
      </c>
      <c r="AK37" s="32">
        <v>1</v>
      </c>
      <c r="AL37" s="32" t="s">
        <v>657</v>
      </c>
      <c r="AM37" s="32">
        <v>1</v>
      </c>
      <c r="AN37" s="32" t="s">
        <v>658</v>
      </c>
      <c r="AO37" s="30">
        <f t="shared" si="5"/>
        <v>3</v>
      </c>
      <c r="AP37" s="30">
        <f t="shared" si="3"/>
        <v>3</v>
      </c>
      <c r="AQ37" s="30">
        <f t="shared" si="4"/>
        <v>9</v>
      </c>
      <c r="AR37" s="30" t="s">
        <v>226</v>
      </c>
      <c r="AS37" s="32" t="s">
        <v>1395</v>
      </c>
      <c r="AT37" s="30" t="s">
        <v>545</v>
      </c>
    </row>
    <row r="38" spans="1:46" ht="108.75" customHeight="1">
      <c r="A38" s="32" t="s">
        <v>124</v>
      </c>
      <c r="B38" s="32" t="s">
        <v>125</v>
      </c>
      <c r="C38" s="32" t="s">
        <v>659</v>
      </c>
      <c r="D38" s="32" t="s">
        <v>319</v>
      </c>
      <c r="E38" s="32" t="s">
        <v>208</v>
      </c>
      <c r="F38" s="32" t="s">
        <v>208</v>
      </c>
      <c r="G38" s="32" t="s">
        <v>319</v>
      </c>
      <c r="H38" s="32" t="s">
        <v>319</v>
      </c>
      <c r="I38" s="32" t="s">
        <v>319</v>
      </c>
      <c r="J38" s="30" t="s">
        <v>660</v>
      </c>
      <c r="K38" s="32" t="s">
        <v>1710</v>
      </c>
      <c r="L38" s="32" t="s">
        <v>661</v>
      </c>
      <c r="M38" s="32" t="s">
        <v>662</v>
      </c>
      <c r="N38" s="32" t="s">
        <v>663</v>
      </c>
      <c r="O38" s="32">
        <v>3</v>
      </c>
      <c r="P38" s="32" t="s">
        <v>664</v>
      </c>
      <c r="Q38" s="32">
        <v>3</v>
      </c>
      <c r="R38" s="32" t="s">
        <v>665</v>
      </c>
      <c r="S38" s="32">
        <v>2</v>
      </c>
      <c r="T38" s="32" t="s">
        <v>666</v>
      </c>
      <c r="U38" s="32">
        <v>2</v>
      </c>
      <c r="V38" s="32" t="s">
        <v>667</v>
      </c>
      <c r="W38" s="32">
        <v>2</v>
      </c>
      <c r="X38" s="32" t="s">
        <v>668</v>
      </c>
      <c r="Y38" s="30">
        <f t="shared" si="12"/>
        <v>7</v>
      </c>
      <c r="Z38" s="30">
        <f t="shared" si="13"/>
        <v>5</v>
      </c>
      <c r="AA38" s="30">
        <f t="shared" si="14"/>
        <v>35</v>
      </c>
      <c r="AB38" s="30" t="s">
        <v>287</v>
      </c>
      <c r="AC38" s="30" t="s">
        <v>271</v>
      </c>
      <c r="AD38" s="32" t="s">
        <v>1481</v>
      </c>
      <c r="AE38" s="32">
        <v>2</v>
      </c>
      <c r="AF38" s="32" t="s">
        <v>669</v>
      </c>
      <c r="AG38" s="32">
        <v>1</v>
      </c>
      <c r="AH38" s="32" t="s">
        <v>670</v>
      </c>
      <c r="AI38" s="32">
        <v>1</v>
      </c>
      <c r="AJ38" s="32" t="s">
        <v>671</v>
      </c>
      <c r="AK38" s="32">
        <v>2</v>
      </c>
      <c r="AL38" s="32" t="s">
        <v>672</v>
      </c>
      <c r="AM38" s="32">
        <v>1</v>
      </c>
      <c r="AN38" s="32" t="s">
        <v>673</v>
      </c>
      <c r="AO38" s="30">
        <f t="shared" si="5"/>
        <v>3</v>
      </c>
      <c r="AP38" s="30">
        <f t="shared" si="3"/>
        <v>4</v>
      </c>
      <c r="AQ38" s="30">
        <f t="shared" si="4"/>
        <v>12</v>
      </c>
      <c r="AR38" s="30" t="s">
        <v>226</v>
      </c>
      <c r="AS38" s="32" t="s">
        <v>1407</v>
      </c>
      <c r="AT38" s="32" t="s">
        <v>603</v>
      </c>
    </row>
    <row r="39" spans="1:46" ht="161.65" customHeight="1">
      <c r="A39" s="32" t="s">
        <v>124</v>
      </c>
      <c r="B39" s="32" t="s">
        <v>125</v>
      </c>
      <c r="C39" s="32" t="s">
        <v>674</v>
      </c>
      <c r="D39" s="32" t="s">
        <v>319</v>
      </c>
      <c r="E39" s="32" t="s">
        <v>319</v>
      </c>
      <c r="F39" s="32" t="s">
        <v>208</v>
      </c>
      <c r="G39" s="32" t="s">
        <v>319</v>
      </c>
      <c r="H39" s="32" t="s">
        <v>319</v>
      </c>
      <c r="I39" s="32" t="s">
        <v>319</v>
      </c>
      <c r="J39" s="32" t="s">
        <v>575</v>
      </c>
      <c r="K39" s="32" t="s">
        <v>1711</v>
      </c>
      <c r="L39" s="32" t="s">
        <v>675</v>
      </c>
      <c r="M39" s="32" t="s">
        <v>676</v>
      </c>
      <c r="N39" s="32" t="s">
        <v>663</v>
      </c>
      <c r="O39" s="32">
        <v>2</v>
      </c>
      <c r="P39" s="32" t="s">
        <v>677</v>
      </c>
      <c r="Q39" s="32">
        <v>3</v>
      </c>
      <c r="R39" s="32" t="s">
        <v>678</v>
      </c>
      <c r="S39" s="32">
        <v>2</v>
      </c>
      <c r="T39" s="32" t="s">
        <v>679</v>
      </c>
      <c r="U39" s="32">
        <v>2</v>
      </c>
      <c r="V39" s="32" t="s">
        <v>680</v>
      </c>
      <c r="W39" s="32">
        <v>2</v>
      </c>
      <c r="X39" s="32" t="s">
        <v>681</v>
      </c>
      <c r="Y39" s="30">
        <f t="shared" si="12"/>
        <v>7</v>
      </c>
      <c r="Z39" s="30">
        <f t="shared" si="13"/>
        <v>4</v>
      </c>
      <c r="AA39" s="30">
        <f t="shared" si="14"/>
        <v>28</v>
      </c>
      <c r="AB39" s="32" t="s">
        <v>218</v>
      </c>
      <c r="AC39" s="30" t="s">
        <v>271</v>
      </c>
      <c r="AD39" s="32" t="s">
        <v>1482</v>
      </c>
      <c r="AE39" s="32">
        <v>2</v>
      </c>
      <c r="AF39" s="32" t="s">
        <v>682</v>
      </c>
      <c r="AG39" s="32">
        <v>1</v>
      </c>
      <c r="AH39" s="32" t="s">
        <v>683</v>
      </c>
      <c r="AI39" s="32">
        <v>1</v>
      </c>
      <c r="AJ39" s="32" t="s">
        <v>684</v>
      </c>
      <c r="AK39" s="32">
        <v>2</v>
      </c>
      <c r="AL39" s="32" t="s">
        <v>685</v>
      </c>
      <c r="AM39" s="32">
        <v>1</v>
      </c>
      <c r="AN39" s="32" t="s">
        <v>686</v>
      </c>
      <c r="AO39" s="30">
        <f t="shared" si="5"/>
        <v>3</v>
      </c>
      <c r="AP39" s="30">
        <f t="shared" si="3"/>
        <v>4</v>
      </c>
      <c r="AQ39" s="30">
        <f t="shared" si="4"/>
        <v>12</v>
      </c>
      <c r="AR39" s="30" t="s">
        <v>226</v>
      </c>
      <c r="AS39" s="32" t="s">
        <v>1407</v>
      </c>
      <c r="AT39" s="32" t="s">
        <v>687</v>
      </c>
    </row>
    <row r="40" spans="1:46" ht="171.4" customHeight="1">
      <c r="A40" s="32" t="s">
        <v>124</v>
      </c>
      <c r="B40" s="32" t="s">
        <v>125</v>
      </c>
      <c r="C40" s="32" t="s">
        <v>688</v>
      </c>
      <c r="D40" s="32" t="s">
        <v>208</v>
      </c>
      <c r="E40" s="32" t="s">
        <v>208</v>
      </c>
      <c r="F40" s="32" t="s">
        <v>319</v>
      </c>
      <c r="G40" s="32" t="s">
        <v>319</v>
      </c>
      <c r="H40" s="32" t="s">
        <v>319</v>
      </c>
      <c r="I40" s="32" t="s">
        <v>319</v>
      </c>
      <c r="J40" s="32" t="s">
        <v>689</v>
      </c>
      <c r="K40" s="32" t="s">
        <v>1712</v>
      </c>
      <c r="L40" s="32" t="s">
        <v>690</v>
      </c>
      <c r="M40" s="32" t="s">
        <v>691</v>
      </c>
      <c r="N40" s="32" t="s">
        <v>663</v>
      </c>
      <c r="O40" s="32">
        <v>2</v>
      </c>
      <c r="P40" s="32" t="s">
        <v>692</v>
      </c>
      <c r="Q40" s="32">
        <v>3</v>
      </c>
      <c r="R40" s="32" t="s">
        <v>693</v>
      </c>
      <c r="S40" s="32">
        <v>2</v>
      </c>
      <c r="T40" s="32" t="s">
        <v>694</v>
      </c>
      <c r="U40" s="32">
        <v>2</v>
      </c>
      <c r="V40" s="36" t="s">
        <v>695</v>
      </c>
      <c r="W40" s="32">
        <v>2</v>
      </c>
      <c r="X40" s="32" t="s">
        <v>696</v>
      </c>
      <c r="Y40" s="32">
        <f t="shared" si="12"/>
        <v>7</v>
      </c>
      <c r="Z40" s="32">
        <f t="shared" si="13"/>
        <v>4</v>
      </c>
      <c r="AA40" s="32">
        <f t="shared" si="14"/>
        <v>28</v>
      </c>
      <c r="AB40" s="32" t="s">
        <v>218</v>
      </c>
      <c r="AC40" s="30" t="s">
        <v>271</v>
      </c>
      <c r="AD40" s="32" t="s">
        <v>1483</v>
      </c>
      <c r="AE40" s="32">
        <v>1</v>
      </c>
      <c r="AF40" s="32" t="s">
        <v>697</v>
      </c>
      <c r="AG40" s="32">
        <v>1</v>
      </c>
      <c r="AH40" s="32" t="s">
        <v>698</v>
      </c>
      <c r="AI40" s="32">
        <v>1</v>
      </c>
      <c r="AJ40" s="32" t="s">
        <v>699</v>
      </c>
      <c r="AK40" s="32">
        <v>2</v>
      </c>
      <c r="AL40" s="32" t="s">
        <v>700</v>
      </c>
      <c r="AM40" s="32">
        <v>1</v>
      </c>
      <c r="AN40" s="32" t="s">
        <v>686</v>
      </c>
      <c r="AO40" s="30">
        <f t="shared" si="5"/>
        <v>3</v>
      </c>
      <c r="AP40" s="30">
        <f t="shared" si="3"/>
        <v>3</v>
      </c>
      <c r="AQ40" s="30">
        <f t="shared" si="4"/>
        <v>9</v>
      </c>
      <c r="AR40" s="30" t="s">
        <v>226</v>
      </c>
      <c r="AS40" s="32" t="s">
        <v>1408</v>
      </c>
      <c r="AT40" s="32" t="s">
        <v>236</v>
      </c>
    </row>
    <row r="41" spans="1:46" ht="127.5" customHeight="1">
      <c r="A41" s="32" t="s">
        <v>124</v>
      </c>
      <c r="B41" s="32" t="s">
        <v>125</v>
      </c>
      <c r="C41" s="32" t="s">
        <v>701</v>
      </c>
      <c r="D41" s="32" t="s">
        <v>319</v>
      </c>
      <c r="E41" s="32" t="s">
        <v>208</v>
      </c>
      <c r="F41" s="32" t="s">
        <v>319</v>
      </c>
      <c r="G41" s="32" t="s">
        <v>208</v>
      </c>
      <c r="H41" s="32" t="s">
        <v>208</v>
      </c>
      <c r="I41" s="32" t="s">
        <v>319</v>
      </c>
      <c r="J41" s="32" t="s">
        <v>702</v>
      </c>
      <c r="K41" s="32" t="s">
        <v>1713</v>
      </c>
      <c r="L41" s="32" t="s">
        <v>703</v>
      </c>
      <c r="M41" s="32" t="s">
        <v>704</v>
      </c>
      <c r="N41" s="32" t="s">
        <v>663</v>
      </c>
      <c r="O41" s="32">
        <v>2</v>
      </c>
      <c r="P41" s="32" t="s">
        <v>705</v>
      </c>
      <c r="Q41" s="32">
        <v>3</v>
      </c>
      <c r="R41" s="32" t="s">
        <v>706</v>
      </c>
      <c r="S41" s="32">
        <v>2</v>
      </c>
      <c r="T41" s="32" t="s">
        <v>707</v>
      </c>
      <c r="U41" s="32">
        <v>2</v>
      </c>
      <c r="V41" s="32" t="s">
        <v>708</v>
      </c>
      <c r="W41" s="32">
        <v>2</v>
      </c>
      <c r="X41" s="32" t="s">
        <v>709</v>
      </c>
      <c r="Y41" s="32">
        <f t="shared" si="12"/>
        <v>7</v>
      </c>
      <c r="Z41" s="32">
        <f t="shared" si="13"/>
        <v>4</v>
      </c>
      <c r="AA41" s="32">
        <f t="shared" si="14"/>
        <v>28</v>
      </c>
      <c r="AB41" s="32" t="s">
        <v>218</v>
      </c>
      <c r="AC41" s="32" t="s">
        <v>271</v>
      </c>
      <c r="AD41" s="32" t="s">
        <v>1484</v>
      </c>
      <c r="AE41" s="32">
        <v>2</v>
      </c>
      <c r="AF41" s="32" t="s">
        <v>710</v>
      </c>
      <c r="AG41" s="32">
        <v>1</v>
      </c>
      <c r="AH41" s="32" t="s">
        <v>711</v>
      </c>
      <c r="AI41" s="32">
        <v>1</v>
      </c>
      <c r="AJ41" s="32" t="s">
        <v>712</v>
      </c>
      <c r="AK41" s="32">
        <v>2</v>
      </c>
      <c r="AL41" s="32" t="s">
        <v>713</v>
      </c>
      <c r="AM41" s="32">
        <v>1</v>
      </c>
      <c r="AN41" s="32" t="s">
        <v>714</v>
      </c>
      <c r="AO41" s="32">
        <f t="shared" si="5"/>
        <v>3</v>
      </c>
      <c r="AP41" s="32">
        <f t="shared" si="3"/>
        <v>4</v>
      </c>
      <c r="AQ41" s="32">
        <f t="shared" si="4"/>
        <v>12</v>
      </c>
      <c r="AR41" s="32" t="s">
        <v>226</v>
      </c>
      <c r="AS41" s="32" t="s">
        <v>1406</v>
      </c>
      <c r="AT41" s="32" t="s">
        <v>715</v>
      </c>
    </row>
    <row r="42" spans="1:46" ht="211.9" customHeight="1">
      <c r="A42" s="29" t="s">
        <v>126</v>
      </c>
      <c r="B42" s="32" t="s">
        <v>127</v>
      </c>
      <c r="C42" s="32" t="s">
        <v>716</v>
      </c>
      <c r="D42" s="32" t="s">
        <v>208</v>
      </c>
      <c r="E42" s="32" t="s">
        <v>208</v>
      </c>
      <c r="F42" s="32" t="s">
        <v>208</v>
      </c>
      <c r="G42" s="32" t="s">
        <v>208</v>
      </c>
      <c r="H42" s="32" t="s">
        <v>208</v>
      </c>
      <c r="I42" s="32" t="s">
        <v>208</v>
      </c>
      <c r="J42" s="32" t="s">
        <v>717</v>
      </c>
      <c r="K42" s="32" t="s">
        <v>1714</v>
      </c>
      <c r="L42" s="32" t="s">
        <v>718</v>
      </c>
      <c r="M42" s="32" t="s">
        <v>719</v>
      </c>
      <c r="N42" s="32" t="s">
        <v>251</v>
      </c>
      <c r="O42" s="32">
        <v>3</v>
      </c>
      <c r="P42" s="32" t="s">
        <v>720</v>
      </c>
      <c r="Q42" s="32">
        <v>2</v>
      </c>
      <c r="R42" s="32" t="s">
        <v>721</v>
      </c>
      <c r="S42" s="32">
        <v>2</v>
      </c>
      <c r="T42" s="32" t="s">
        <v>722</v>
      </c>
      <c r="U42" s="32">
        <v>3</v>
      </c>
      <c r="V42" s="32" t="s">
        <v>723</v>
      </c>
      <c r="W42" s="32">
        <v>1</v>
      </c>
      <c r="X42" s="32" t="s">
        <v>724</v>
      </c>
      <c r="Y42" s="32">
        <f t="shared" si="12"/>
        <v>5</v>
      </c>
      <c r="Z42" s="32">
        <f t="shared" si="13"/>
        <v>6</v>
      </c>
      <c r="AA42" s="32">
        <f t="shared" si="14"/>
        <v>30</v>
      </c>
      <c r="AB42" s="32" t="s">
        <v>218</v>
      </c>
      <c r="AC42" s="32" t="s">
        <v>271</v>
      </c>
      <c r="AD42" s="32" t="s">
        <v>1538</v>
      </c>
      <c r="AE42" s="32">
        <v>2</v>
      </c>
      <c r="AF42" s="32" t="s">
        <v>725</v>
      </c>
      <c r="AG42" s="32">
        <v>1</v>
      </c>
      <c r="AH42" s="32" t="s">
        <v>726</v>
      </c>
      <c r="AI42" s="32">
        <v>2</v>
      </c>
      <c r="AJ42" s="32" t="s">
        <v>727</v>
      </c>
      <c r="AK42" s="32">
        <v>2</v>
      </c>
      <c r="AL42" s="32" t="s">
        <v>728</v>
      </c>
      <c r="AM42" s="32">
        <v>1</v>
      </c>
      <c r="AN42" s="32" t="s">
        <v>729</v>
      </c>
      <c r="AO42" s="32">
        <f t="shared" si="5"/>
        <v>4</v>
      </c>
      <c r="AP42" s="32">
        <f t="shared" si="3"/>
        <v>4</v>
      </c>
      <c r="AQ42" s="32">
        <f t="shared" si="4"/>
        <v>16</v>
      </c>
      <c r="AR42" s="32" t="s">
        <v>226</v>
      </c>
      <c r="AS42" s="32" t="s">
        <v>1390</v>
      </c>
      <c r="AT42" s="32" t="s">
        <v>730</v>
      </c>
    </row>
    <row r="43" spans="1:46" ht="176.25" customHeight="1">
      <c r="A43" s="29" t="s">
        <v>128</v>
      </c>
      <c r="B43" s="32" t="s">
        <v>129</v>
      </c>
      <c r="C43" s="32" t="s">
        <v>731</v>
      </c>
      <c r="D43" s="32" t="s">
        <v>208</v>
      </c>
      <c r="E43" s="32" t="s">
        <v>208</v>
      </c>
      <c r="F43" s="32" t="s">
        <v>208</v>
      </c>
      <c r="G43" s="32" t="s">
        <v>208</v>
      </c>
      <c r="H43" s="32" t="s">
        <v>208</v>
      </c>
      <c r="I43" s="32" t="s">
        <v>208</v>
      </c>
      <c r="J43" s="32" t="s">
        <v>732</v>
      </c>
      <c r="K43" s="32" t="s">
        <v>1715</v>
      </c>
      <c r="L43" s="32" t="s">
        <v>733</v>
      </c>
      <c r="M43" s="32" t="s">
        <v>734</v>
      </c>
      <c r="N43" s="32" t="s">
        <v>366</v>
      </c>
      <c r="O43" s="32">
        <v>3</v>
      </c>
      <c r="P43" s="32" t="s">
        <v>735</v>
      </c>
      <c r="Q43" s="32">
        <v>2</v>
      </c>
      <c r="R43" s="32" t="s">
        <v>736</v>
      </c>
      <c r="S43" s="32">
        <v>2</v>
      </c>
      <c r="T43" s="32" t="s">
        <v>737</v>
      </c>
      <c r="U43" s="32">
        <v>2</v>
      </c>
      <c r="V43" s="32" t="s">
        <v>738</v>
      </c>
      <c r="W43" s="32">
        <v>2</v>
      </c>
      <c r="X43" s="32" t="s">
        <v>739</v>
      </c>
      <c r="Y43" s="32">
        <v>6</v>
      </c>
      <c r="Z43" s="32">
        <v>5</v>
      </c>
      <c r="AA43" s="32">
        <v>30</v>
      </c>
      <c r="AB43" s="32" t="s">
        <v>218</v>
      </c>
      <c r="AC43" s="32" t="s">
        <v>271</v>
      </c>
      <c r="AD43" s="32" t="s">
        <v>1485</v>
      </c>
      <c r="AE43" s="32">
        <v>1</v>
      </c>
      <c r="AF43" s="32" t="s">
        <v>740</v>
      </c>
      <c r="AG43" s="32">
        <v>1</v>
      </c>
      <c r="AH43" s="32" t="s">
        <v>741</v>
      </c>
      <c r="AI43" s="32">
        <v>2</v>
      </c>
      <c r="AJ43" s="32" t="s">
        <v>742</v>
      </c>
      <c r="AK43" s="32">
        <v>2</v>
      </c>
      <c r="AL43" s="32" t="s">
        <v>743</v>
      </c>
      <c r="AM43" s="32">
        <v>1</v>
      </c>
      <c r="AN43" s="32" t="s">
        <v>744</v>
      </c>
      <c r="AO43" s="32">
        <f t="shared" si="5"/>
        <v>4</v>
      </c>
      <c r="AP43" s="32">
        <f t="shared" si="3"/>
        <v>3</v>
      </c>
      <c r="AQ43" s="32">
        <f t="shared" si="4"/>
        <v>12</v>
      </c>
      <c r="AR43" s="32" t="s">
        <v>226</v>
      </c>
      <c r="AS43" s="32" t="s">
        <v>1409</v>
      </c>
      <c r="AT43" s="32" t="s">
        <v>745</v>
      </c>
    </row>
    <row r="44" spans="1:46" s="26" customFormat="1" ht="125.65" customHeight="1">
      <c r="A44" s="30" t="s">
        <v>130</v>
      </c>
      <c r="B44" s="30" t="s">
        <v>131</v>
      </c>
      <c r="C44" s="30" t="s">
        <v>746</v>
      </c>
      <c r="D44" s="30"/>
      <c r="E44" s="30" t="s">
        <v>208</v>
      </c>
      <c r="F44" s="30" t="s">
        <v>208</v>
      </c>
      <c r="G44" s="30" t="s">
        <v>208</v>
      </c>
      <c r="H44" s="30"/>
      <c r="I44" s="30"/>
      <c r="J44" s="30" t="s">
        <v>350</v>
      </c>
      <c r="K44" s="37" t="s">
        <v>1716</v>
      </c>
      <c r="L44" s="36" t="s">
        <v>747</v>
      </c>
      <c r="M44" s="36" t="s">
        <v>748</v>
      </c>
      <c r="N44" s="36" t="s">
        <v>749</v>
      </c>
      <c r="O44" s="30">
        <v>3</v>
      </c>
      <c r="P44" s="36" t="s">
        <v>750</v>
      </c>
      <c r="Q44" s="36">
        <v>2</v>
      </c>
      <c r="R44" s="36" t="s">
        <v>751</v>
      </c>
      <c r="S44" s="36">
        <v>1</v>
      </c>
      <c r="T44" s="36" t="s">
        <v>752</v>
      </c>
      <c r="U44" s="36">
        <v>2</v>
      </c>
      <c r="V44" s="36" t="s">
        <v>753</v>
      </c>
      <c r="W44" s="36">
        <v>1</v>
      </c>
      <c r="X44" s="36" t="s">
        <v>754</v>
      </c>
      <c r="Y44" s="36">
        <f t="shared" ref="Y44:Y51" si="15">Q44+S44+W44</f>
        <v>4</v>
      </c>
      <c r="Z44" s="36">
        <f t="shared" ref="Z44:Z51" si="16">O44+U44</f>
        <v>5</v>
      </c>
      <c r="AA44" s="36">
        <f t="shared" ref="AA44:AA51" si="17">Y44*Z44</f>
        <v>20</v>
      </c>
      <c r="AB44" s="36" t="s">
        <v>218</v>
      </c>
      <c r="AC44" s="36" t="s">
        <v>755</v>
      </c>
      <c r="AD44" s="36" t="s">
        <v>1486</v>
      </c>
      <c r="AE44" s="36">
        <v>1</v>
      </c>
      <c r="AF44" s="36" t="s">
        <v>756</v>
      </c>
      <c r="AG44" s="36">
        <v>1</v>
      </c>
      <c r="AH44" s="36" t="s">
        <v>757</v>
      </c>
      <c r="AI44" s="36">
        <v>1</v>
      </c>
      <c r="AJ44" s="36" t="s">
        <v>758</v>
      </c>
      <c r="AK44" s="36">
        <v>1</v>
      </c>
      <c r="AL44" s="36" t="s">
        <v>759</v>
      </c>
      <c r="AM44" s="36">
        <v>1</v>
      </c>
      <c r="AN44" s="36" t="s">
        <v>760</v>
      </c>
      <c r="AO44" s="36">
        <f t="shared" si="5"/>
        <v>3</v>
      </c>
      <c r="AP44" s="36">
        <f t="shared" si="3"/>
        <v>2</v>
      </c>
      <c r="AQ44" s="36">
        <f t="shared" si="4"/>
        <v>6</v>
      </c>
      <c r="AR44" s="30" t="s">
        <v>226</v>
      </c>
      <c r="AS44" s="30" t="s">
        <v>1387</v>
      </c>
      <c r="AT44" s="30" t="s">
        <v>761</v>
      </c>
    </row>
    <row r="45" spans="1:46" s="26" customFormat="1" ht="130.5" customHeight="1">
      <c r="A45" s="30" t="s">
        <v>130</v>
      </c>
      <c r="B45" s="30" t="s">
        <v>131</v>
      </c>
      <c r="C45" s="30" t="s">
        <v>746</v>
      </c>
      <c r="D45" s="30"/>
      <c r="E45" s="30" t="s">
        <v>208</v>
      </c>
      <c r="F45" s="30" t="s">
        <v>208</v>
      </c>
      <c r="G45" s="30" t="s">
        <v>208</v>
      </c>
      <c r="H45" s="30"/>
      <c r="I45" s="30"/>
      <c r="J45" s="30" t="s">
        <v>350</v>
      </c>
      <c r="K45" s="37" t="s">
        <v>1717</v>
      </c>
      <c r="L45" s="36" t="s">
        <v>762</v>
      </c>
      <c r="M45" s="36" t="s">
        <v>748</v>
      </c>
      <c r="N45" s="36" t="s">
        <v>749</v>
      </c>
      <c r="O45" s="36">
        <v>3</v>
      </c>
      <c r="P45" s="36" t="s">
        <v>353</v>
      </c>
      <c r="Q45" s="36">
        <v>3</v>
      </c>
      <c r="R45" s="36" t="s">
        <v>354</v>
      </c>
      <c r="S45" s="36">
        <v>2</v>
      </c>
      <c r="T45" s="36" t="s">
        <v>355</v>
      </c>
      <c r="U45" s="36">
        <v>2</v>
      </c>
      <c r="V45" s="36" t="s">
        <v>356</v>
      </c>
      <c r="W45" s="36">
        <v>2</v>
      </c>
      <c r="X45" s="36" t="s">
        <v>763</v>
      </c>
      <c r="Y45" s="36">
        <f t="shared" si="15"/>
        <v>7</v>
      </c>
      <c r="Z45" s="36">
        <f t="shared" si="16"/>
        <v>5</v>
      </c>
      <c r="AA45" s="36">
        <f t="shared" si="17"/>
        <v>35</v>
      </c>
      <c r="AB45" s="36" t="s">
        <v>287</v>
      </c>
      <c r="AC45" s="36" t="s">
        <v>755</v>
      </c>
      <c r="AD45" s="37" t="s">
        <v>1487</v>
      </c>
      <c r="AE45" s="36">
        <v>1</v>
      </c>
      <c r="AF45" s="36" t="s">
        <v>764</v>
      </c>
      <c r="AG45" s="36">
        <v>1</v>
      </c>
      <c r="AH45" s="36" t="s">
        <v>765</v>
      </c>
      <c r="AI45" s="36">
        <v>1</v>
      </c>
      <c r="AJ45" s="36" t="s">
        <v>766</v>
      </c>
      <c r="AK45" s="36">
        <v>1</v>
      </c>
      <c r="AL45" s="36" t="s">
        <v>759</v>
      </c>
      <c r="AM45" s="36">
        <v>1</v>
      </c>
      <c r="AN45" s="36" t="s">
        <v>760</v>
      </c>
      <c r="AO45" s="36">
        <f t="shared" si="5"/>
        <v>3</v>
      </c>
      <c r="AP45" s="36">
        <f t="shared" si="3"/>
        <v>2</v>
      </c>
      <c r="AQ45" s="36">
        <f t="shared" si="4"/>
        <v>6</v>
      </c>
      <c r="AR45" s="30" t="s">
        <v>226</v>
      </c>
      <c r="AS45" s="30" t="s">
        <v>1388</v>
      </c>
      <c r="AT45" s="30" t="s">
        <v>767</v>
      </c>
    </row>
    <row r="46" spans="1:46" s="26" customFormat="1" ht="84" customHeight="1">
      <c r="A46" s="30" t="s">
        <v>132</v>
      </c>
      <c r="B46" s="30" t="s">
        <v>133</v>
      </c>
      <c r="C46" s="30" t="s">
        <v>768</v>
      </c>
      <c r="D46" s="30" t="s">
        <v>208</v>
      </c>
      <c r="E46" s="30" t="s">
        <v>208</v>
      </c>
      <c r="F46" s="30" t="s">
        <v>208</v>
      </c>
      <c r="G46" s="30" t="s">
        <v>208</v>
      </c>
      <c r="H46" s="30"/>
      <c r="I46" s="38"/>
      <c r="J46" s="30" t="s">
        <v>350</v>
      </c>
      <c r="K46" s="37" t="s">
        <v>1718</v>
      </c>
      <c r="L46" s="36" t="s">
        <v>769</v>
      </c>
      <c r="M46" s="36" t="s">
        <v>770</v>
      </c>
      <c r="N46" s="36" t="s">
        <v>749</v>
      </c>
      <c r="O46" s="36">
        <v>2</v>
      </c>
      <c r="P46" s="36" t="s">
        <v>771</v>
      </c>
      <c r="Q46" s="36">
        <v>3</v>
      </c>
      <c r="R46" s="36" t="s">
        <v>772</v>
      </c>
      <c r="S46" s="36">
        <v>2</v>
      </c>
      <c r="T46" s="36" t="s">
        <v>773</v>
      </c>
      <c r="U46" s="36">
        <v>1</v>
      </c>
      <c r="V46" s="36" t="s">
        <v>774</v>
      </c>
      <c r="W46" s="36">
        <v>3</v>
      </c>
      <c r="X46" s="36" t="s">
        <v>775</v>
      </c>
      <c r="Y46" s="36">
        <f t="shared" si="15"/>
        <v>8</v>
      </c>
      <c r="Z46" s="36">
        <f t="shared" si="16"/>
        <v>3</v>
      </c>
      <c r="AA46" s="36">
        <f t="shared" si="17"/>
        <v>24</v>
      </c>
      <c r="AB46" s="36" t="s">
        <v>287</v>
      </c>
      <c r="AC46" s="36" t="s">
        <v>755</v>
      </c>
      <c r="AD46" s="37" t="s">
        <v>776</v>
      </c>
      <c r="AE46" s="36">
        <v>1</v>
      </c>
      <c r="AF46" s="36" t="s">
        <v>777</v>
      </c>
      <c r="AG46" s="36">
        <v>1</v>
      </c>
      <c r="AH46" s="36" t="s">
        <v>778</v>
      </c>
      <c r="AI46" s="36">
        <v>1</v>
      </c>
      <c r="AJ46" s="36" t="s">
        <v>779</v>
      </c>
      <c r="AK46" s="36">
        <v>1</v>
      </c>
      <c r="AL46" s="36" t="s">
        <v>780</v>
      </c>
      <c r="AM46" s="36">
        <v>1</v>
      </c>
      <c r="AN46" s="36" t="s">
        <v>781</v>
      </c>
      <c r="AO46" s="36">
        <f t="shared" si="5"/>
        <v>3</v>
      </c>
      <c r="AP46" s="36">
        <f t="shared" si="3"/>
        <v>2</v>
      </c>
      <c r="AQ46" s="36">
        <f t="shared" si="4"/>
        <v>6</v>
      </c>
      <c r="AR46" s="30" t="s">
        <v>226</v>
      </c>
      <c r="AS46" s="32" t="s">
        <v>1405</v>
      </c>
      <c r="AT46" s="30" t="s">
        <v>761</v>
      </c>
    </row>
    <row r="47" spans="1:46" s="26" customFormat="1" ht="108.75" customHeight="1">
      <c r="A47" s="30" t="s">
        <v>132</v>
      </c>
      <c r="B47" s="30" t="s">
        <v>134</v>
      </c>
      <c r="C47" s="30" t="s">
        <v>746</v>
      </c>
      <c r="D47" s="30" t="s">
        <v>208</v>
      </c>
      <c r="E47" s="30" t="s">
        <v>208</v>
      </c>
      <c r="F47" s="30" t="s">
        <v>208</v>
      </c>
      <c r="G47" s="30" t="s">
        <v>208</v>
      </c>
      <c r="H47" s="30"/>
      <c r="I47" s="38"/>
      <c r="J47" s="30" t="s">
        <v>425</v>
      </c>
      <c r="K47" s="37" t="s">
        <v>1719</v>
      </c>
      <c r="L47" s="36" t="s">
        <v>782</v>
      </c>
      <c r="M47" s="36" t="s">
        <v>770</v>
      </c>
      <c r="N47" s="36" t="s">
        <v>749</v>
      </c>
      <c r="O47" s="36">
        <v>2</v>
      </c>
      <c r="P47" s="36" t="s">
        <v>783</v>
      </c>
      <c r="Q47" s="36">
        <v>3</v>
      </c>
      <c r="R47" s="36" t="s">
        <v>772</v>
      </c>
      <c r="S47" s="36">
        <v>2</v>
      </c>
      <c r="T47" s="36" t="s">
        <v>773</v>
      </c>
      <c r="U47" s="36">
        <v>1</v>
      </c>
      <c r="V47" s="36" t="s">
        <v>774</v>
      </c>
      <c r="W47" s="36">
        <v>3</v>
      </c>
      <c r="X47" s="36" t="s">
        <v>775</v>
      </c>
      <c r="Y47" s="36">
        <f t="shared" si="15"/>
        <v>8</v>
      </c>
      <c r="Z47" s="36">
        <f t="shared" si="16"/>
        <v>3</v>
      </c>
      <c r="AA47" s="36">
        <f t="shared" si="17"/>
        <v>24</v>
      </c>
      <c r="AB47" s="36" t="s">
        <v>287</v>
      </c>
      <c r="AC47" s="36" t="s">
        <v>755</v>
      </c>
      <c r="AD47" s="37" t="s">
        <v>784</v>
      </c>
      <c r="AE47" s="36">
        <v>1</v>
      </c>
      <c r="AF47" s="36" t="s">
        <v>1290</v>
      </c>
      <c r="AG47" s="36">
        <v>1</v>
      </c>
      <c r="AH47" s="36" t="s">
        <v>785</v>
      </c>
      <c r="AI47" s="36">
        <v>1</v>
      </c>
      <c r="AJ47" s="36" t="s">
        <v>786</v>
      </c>
      <c r="AK47" s="36">
        <v>1</v>
      </c>
      <c r="AL47" s="36" t="s">
        <v>787</v>
      </c>
      <c r="AM47" s="36">
        <v>1</v>
      </c>
      <c r="AN47" s="36" t="s">
        <v>788</v>
      </c>
      <c r="AO47" s="36">
        <f t="shared" si="5"/>
        <v>3</v>
      </c>
      <c r="AP47" s="36">
        <f t="shared" si="3"/>
        <v>2</v>
      </c>
      <c r="AQ47" s="36">
        <f t="shared" si="4"/>
        <v>6</v>
      </c>
      <c r="AR47" s="30" t="s">
        <v>226</v>
      </c>
      <c r="AS47" s="32" t="s">
        <v>1390</v>
      </c>
      <c r="AT47" s="30" t="s">
        <v>789</v>
      </c>
    </row>
    <row r="48" spans="1:46" s="26" customFormat="1" ht="67.5">
      <c r="A48" s="30" t="s">
        <v>135</v>
      </c>
      <c r="B48" s="30" t="s">
        <v>135</v>
      </c>
      <c r="C48" s="30" t="s">
        <v>768</v>
      </c>
      <c r="D48" s="38"/>
      <c r="E48" s="30" t="s">
        <v>208</v>
      </c>
      <c r="F48" s="30" t="s">
        <v>208</v>
      </c>
      <c r="G48" s="38"/>
      <c r="H48" s="30" t="s">
        <v>208</v>
      </c>
      <c r="I48" s="38"/>
      <c r="J48" s="30" t="s">
        <v>790</v>
      </c>
      <c r="K48" s="37" t="s">
        <v>1720</v>
      </c>
      <c r="L48" s="36" t="s">
        <v>791</v>
      </c>
      <c r="M48" s="36" t="s">
        <v>792</v>
      </c>
      <c r="N48" s="36" t="s">
        <v>749</v>
      </c>
      <c r="O48" s="36">
        <v>3</v>
      </c>
      <c r="P48" s="36" t="s">
        <v>793</v>
      </c>
      <c r="Q48" s="36">
        <v>3</v>
      </c>
      <c r="R48" s="36" t="s">
        <v>794</v>
      </c>
      <c r="S48" s="36">
        <v>2</v>
      </c>
      <c r="T48" s="36" t="s">
        <v>795</v>
      </c>
      <c r="U48" s="36">
        <v>2</v>
      </c>
      <c r="V48" s="36" t="s">
        <v>796</v>
      </c>
      <c r="W48" s="36">
        <v>2</v>
      </c>
      <c r="X48" s="36" t="s">
        <v>797</v>
      </c>
      <c r="Y48" s="36">
        <f t="shared" si="15"/>
        <v>7</v>
      </c>
      <c r="Z48" s="36">
        <f t="shared" si="16"/>
        <v>5</v>
      </c>
      <c r="AA48" s="36">
        <f t="shared" si="17"/>
        <v>35</v>
      </c>
      <c r="AB48" s="36" t="s">
        <v>287</v>
      </c>
      <c r="AC48" s="36" t="s">
        <v>755</v>
      </c>
      <c r="AD48" s="37" t="s">
        <v>1453</v>
      </c>
      <c r="AE48" s="117">
        <v>3</v>
      </c>
      <c r="AF48" s="117" t="s">
        <v>1291</v>
      </c>
      <c r="AG48" s="117">
        <v>2</v>
      </c>
      <c r="AH48" s="117" t="s">
        <v>1381</v>
      </c>
      <c r="AI48" s="117">
        <v>1</v>
      </c>
      <c r="AJ48" s="117" t="s">
        <v>1382</v>
      </c>
      <c r="AK48" s="117">
        <v>1</v>
      </c>
      <c r="AL48" s="117" t="s">
        <v>1383</v>
      </c>
      <c r="AM48" s="117">
        <v>1</v>
      </c>
      <c r="AN48" s="117" t="s">
        <v>798</v>
      </c>
      <c r="AO48" s="117">
        <f t="shared" si="5"/>
        <v>4</v>
      </c>
      <c r="AP48" s="117">
        <f t="shared" si="3"/>
        <v>4</v>
      </c>
      <c r="AQ48" s="117">
        <f t="shared" si="4"/>
        <v>16</v>
      </c>
      <c r="AR48" s="116" t="s">
        <v>226</v>
      </c>
      <c r="AS48" s="30" t="s">
        <v>1394</v>
      </c>
      <c r="AT48" s="30" t="s">
        <v>761</v>
      </c>
    </row>
    <row r="49" spans="1:46" s="26" customFormat="1" ht="164.25" customHeight="1">
      <c r="A49" s="30" t="s">
        <v>136</v>
      </c>
      <c r="B49" s="30" t="s">
        <v>136</v>
      </c>
      <c r="C49" s="30" t="s">
        <v>768</v>
      </c>
      <c r="D49" s="30"/>
      <c r="E49" s="30" t="s">
        <v>208</v>
      </c>
      <c r="F49" s="30" t="s">
        <v>208</v>
      </c>
      <c r="G49" s="30"/>
      <c r="H49" s="30"/>
      <c r="I49" s="30" t="s">
        <v>208</v>
      </c>
      <c r="J49" s="30" t="s">
        <v>799</v>
      </c>
      <c r="K49" s="37" t="s">
        <v>1721</v>
      </c>
      <c r="L49" s="30" t="s">
        <v>800</v>
      </c>
      <c r="M49" s="30" t="s">
        <v>801</v>
      </c>
      <c r="N49" s="36" t="s">
        <v>749</v>
      </c>
      <c r="O49" s="30">
        <v>3</v>
      </c>
      <c r="P49" s="30" t="s">
        <v>802</v>
      </c>
      <c r="Q49" s="30">
        <v>3</v>
      </c>
      <c r="R49" s="30" t="s">
        <v>803</v>
      </c>
      <c r="S49" s="30">
        <v>2</v>
      </c>
      <c r="T49" s="30" t="s">
        <v>804</v>
      </c>
      <c r="U49" s="30">
        <v>1</v>
      </c>
      <c r="V49" s="30" t="s">
        <v>805</v>
      </c>
      <c r="W49" s="30">
        <v>3</v>
      </c>
      <c r="X49" s="30" t="s">
        <v>806</v>
      </c>
      <c r="Y49" s="36">
        <f t="shared" si="15"/>
        <v>8</v>
      </c>
      <c r="Z49" s="36">
        <f t="shared" si="16"/>
        <v>4</v>
      </c>
      <c r="AA49" s="36">
        <f t="shared" si="17"/>
        <v>32</v>
      </c>
      <c r="AB49" s="36" t="s">
        <v>287</v>
      </c>
      <c r="AC49" s="30" t="s">
        <v>807</v>
      </c>
      <c r="AD49" s="30" t="s">
        <v>1488</v>
      </c>
      <c r="AE49" s="30">
        <v>1</v>
      </c>
      <c r="AF49" s="30" t="s">
        <v>808</v>
      </c>
      <c r="AG49" s="30">
        <v>1</v>
      </c>
      <c r="AH49" s="30" t="s">
        <v>808</v>
      </c>
      <c r="AI49" s="30">
        <v>1</v>
      </c>
      <c r="AJ49" s="30" t="s">
        <v>808</v>
      </c>
      <c r="AK49" s="30">
        <v>1</v>
      </c>
      <c r="AL49" s="30" t="s">
        <v>808</v>
      </c>
      <c r="AM49" s="30">
        <v>1</v>
      </c>
      <c r="AN49" s="30" t="s">
        <v>808</v>
      </c>
      <c r="AO49" s="36">
        <f t="shared" si="5"/>
        <v>3</v>
      </c>
      <c r="AP49" s="36">
        <f t="shared" si="3"/>
        <v>2</v>
      </c>
      <c r="AQ49" s="36">
        <f t="shared" si="4"/>
        <v>6</v>
      </c>
      <c r="AR49" s="30" t="s">
        <v>226</v>
      </c>
      <c r="AS49" s="30" t="s">
        <v>1393</v>
      </c>
      <c r="AT49" s="30" t="s">
        <v>809</v>
      </c>
    </row>
    <row r="50" spans="1:46" s="24" customFormat="1" ht="168" customHeight="1">
      <c r="A50" s="33" t="s">
        <v>137</v>
      </c>
      <c r="B50" s="33" t="s">
        <v>135</v>
      </c>
      <c r="C50" s="33" t="s">
        <v>810</v>
      </c>
      <c r="D50" s="33"/>
      <c r="E50" s="33" t="s">
        <v>208</v>
      </c>
      <c r="F50" s="33" t="s">
        <v>208</v>
      </c>
      <c r="G50" s="33" t="s">
        <v>208</v>
      </c>
      <c r="H50" s="33"/>
      <c r="I50" s="33" t="s">
        <v>208</v>
      </c>
      <c r="J50" s="33" t="s">
        <v>811</v>
      </c>
      <c r="K50" s="33" t="s">
        <v>1722</v>
      </c>
      <c r="L50" s="33" t="s">
        <v>1410</v>
      </c>
      <c r="M50" s="33" t="s">
        <v>812</v>
      </c>
      <c r="N50" s="33" t="s">
        <v>749</v>
      </c>
      <c r="O50" s="33">
        <v>2</v>
      </c>
      <c r="P50" s="33" t="s">
        <v>813</v>
      </c>
      <c r="Q50" s="33">
        <v>2</v>
      </c>
      <c r="R50" s="33" t="s">
        <v>814</v>
      </c>
      <c r="S50" s="33">
        <v>2</v>
      </c>
      <c r="T50" s="33" t="s">
        <v>815</v>
      </c>
      <c r="U50" s="33">
        <v>2</v>
      </c>
      <c r="V50" s="33" t="s">
        <v>816</v>
      </c>
      <c r="W50" s="33">
        <v>2</v>
      </c>
      <c r="X50" s="33" t="s">
        <v>817</v>
      </c>
      <c r="Y50" s="33">
        <f t="shared" si="15"/>
        <v>6</v>
      </c>
      <c r="Z50" s="33">
        <f t="shared" si="16"/>
        <v>4</v>
      </c>
      <c r="AA50" s="33">
        <f t="shared" si="17"/>
        <v>24</v>
      </c>
      <c r="AB50" s="33" t="s">
        <v>218</v>
      </c>
      <c r="AC50" s="33" t="s">
        <v>818</v>
      </c>
      <c r="AD50" s="33" t="s">
        <v>1489</v>
      </c>
      <c r="AE50" s="33">
        <v>1</v>
      </c>
      <c r="AF50" s="33" t="s">
        <v>819</v>
      </c>
      <c r="AG50" s="33">
        <v>2</v>
      </c>
      <c r="AH50" s="33" t="s">
        <v>820</v>
      </c>
      <c r="AI50" s="33">
        <v>2</v>
      </c>
      <c r="AJ50" s="33" t="s">
        <v>821</v>
      </c>
      <c r="AK50" s="33">
        <v>1</v>
      </c>
      <c r="AL50" s="33" t="s">
        <v>780</v>
      </c>
      <c r="AM50" s="33">
        <v>2</v>
      </c>
      <c r="AN50" s="33" t="s">
        <v>822</v>
      </c>
      <c r="AO50" s="33">
        <f t="shared" si="5"/>
        <v>6</v>
      </c>
      <c r="AP50" s="33">
        <f t="shared" si="3"/>
        <v>2</v>
      </c>
      <c r="AQ50" s="33">
        <f t="shared" si="4"/>
        <v>12</v>
      </c>
      <c r="AR50" s="33" t="s">
        <v>226</v>
      </c>
      <c r="AS50" s="32" t="s">
        <v>1391</v>
      </c>
      <c r="AT50" s="33" t="s">
        <v>823</v>
      </c>
    </row>
    <row r="51" spans="1:46" s="25" customFormat="1" ht="123.75" customHeight="1">
      <c r="A51" s="33" t="s">
        <v>138</v>
      </c>
      <c r="B51" s="33" t="s">
        <v>139</v>
      </c>
      <c r="C51" s="33" t="s">
        <v>746</v>
      </c>
      <c r="D51" s="33"/>
      <c r="E51" s="33" t="s">
        <v>208</v>
      </c>
      <c r="F51" s="33" t="s">
        <v>208</v>
      </c>
      <c r="G51" s="33"/>
      <c r="H51" s="33"/>
      <c r="I51" s="33" t="s">
        <v>208</v>
      </c>
      <c r="J51" s="33" t="s">
        <v>799</v>
      </c>
      <c r="K51" s="33" t="s">
        <v>1723</v>
      </c>
      <c r="L51" s="33" t="s">
        <v>824</v>
      </c>
      <c r="M51" s="33" t="s">
        <v>825</v>
      </c>
      <c r="N51" s="33" t="s">
        <v>749</v>
      </c>
      <c r="O51" s="33">
        <v>3</v>
      </c>
      <c r="P51" s="33" t="s">
        <v>826</v>
      </c>
      <c r="Q51" s="33">
        <v>2</v>
      </c>
      <c r="R51" s="33" t="s">
        <v>827</v>
      </c>
      <c r="S51" s="33">
        <v>2</v>
      </c>
      <c r="T51" s="33" t="s">
        <v>828</v>
      </c>
      <c r="U51" s="33">
        <v>2</v>
      </c>
      <c r="V51" s="33" t="s">
        <v>829</v>
      </c>
      <c r="W51" s="33">
        <v>1</v>
      </c>
      <c r="X51" s="33" t="s">
        <v>830</v>
      </c>
      <c r="Y51" s="33">
        <f t="shared" si="15"/>
        <v>5</v>
      </c>
      <c r="Z51" s="33">
        <f t="shared" si="16"/>
        <v>5</v>
      </c>
      <c r="AA51" s="33">
        <f t="shared" si="17"/>
        <v>25</v>
      </c>
      <c r="AB51" s="33" t="s">
        <v>218</v>
      </c>
      <c r="AC51" s="33" t="s">
        <v>807</v>
      </c>
      <c r="AD51" s="33" t="s">
        <v>1490</v>
      </c>
      <c r="AE51" s="33">
        <v>1</v>
      </c>
      <c r="AF51" s="33" t="s">
        <v>831</v>
      </c>
      <c r="AG51" s="33">
        <v>1</v>
      </c>
      <c r="AH51" s="33" t="s">
        <v>831</v>
      </c>
      <c r="AI51" s="33">
        <v>1</v>
      </c>
      <c r="AJ51" s="33" t="s">
        <v>831</v>
      </c>
      <c r="AK51" s="33">
        <v>1</v>
      </c>
      <c r="AL51" s="33" t="s">
        <v>831</v>
      </c>
      <c r="AM51" s="33">
        <v>1</v>
      </c>
      <c r="AN51" s="33" t="s">
        <v>831</v>
      </c>
      <c r="AO51" s="33">
        <f t="shared" si="5"/>
        <v>3</v>
      </c>
      <c r="AP51" s="33">
        <f t="shared" si="3"/>
        <v>2</v>
      </c>
      <c r="AQ51" s="33">
        <f t="shared" si="4"/>
        <v>6</v>
      </c>
      <c r="AR51" s="33" t="s">
        <v>226</v>
      </c>
      <c r="AS51" s="30" t="s">
        <v>1392</v>
      </c>
      <c r="AT51" s="30" t="s">
        <v>832</v>
      </c>
    </row>
  </sheetData>
  <mergeCells count="15">
    <mergeCell ref="A1:C1"/>
    <mergeCell ref="AE1:AQ1"/>
    <mergeCell ref="AS1:AS2"/>
    <mergeCell ref="AT1:AT2"/>
    <mergeCell ref="L1:L2"/>
    <mergeCell ref="J1:J2"/>
    <mergeCell ref="AR1:AR2"/>
    <mergeCell ref="O1:AA1"/>
    <mergeCell ref="N1:N2"/>
    <mergeCell ref="D1:I1"/>
    <mergeCell ref="AD1:AD2"/>
    <mergeCell ref="M1:M2"/>
    <mergeCell ref="AC1:AC2"/>
    <mergeCell ref="AB1:AB2"/>
    <mergeCell ref="K1:K2"/>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C5BF-EAFD-4518-A3B4-EBB6FF003B0B}">
  <sheetPr>
    <outlinePr summaryBelow="0" summaryRight="0"/>
  </sheetPr>
  <dimension ref="A1:F87"/>
  <sheetViews>
    <sheetView topLeftCell="A7" zoomScale="85" zoomScaleNormal="85" workbookViewId="0">
      <selection activeCell="D52" sqref="D52"/>
    </sheetView>
  </sheetViews>
  <sheetFormatPr defaultColWidth="9" defaultRowHeight="13.9" customHeight="1"/>
  <cols>
    <col min="1" max="1" width="19.46875" style="127" customWidth="1"/>
    <col min="2" max="2" width="22" style="127" customWidth="1"/>
    <col min="3" max="3" width="22" style="3" customWidth="1"/>
    <col min="4" max="4" width="112.234375" style="3" customWidth="1"/>
    <col min="5" max="5" width="43" style="3" customWidth="1"/>
    <col min="6" max="6" width="30.41015625" style="3" customWidth="1"/>
  </cols>
  <sheetData>
    <row r="1" spans="1:6" ht="34.5" customHeight="1">
      <c r="A1" s="126" t="s">
        <v>1458</v>
      </c>
      <c r="B1" s="128" t="s">
        <v>145</v>
      </c>
      <c r="C1" s="125" t="s">
        <v>1459</v>
      </c>
      <c r="D1" s="27" t="s">
        <v>146</v>
      </c>
      <c r="E1" s="27" t="s">
        <v>147</v>
      </c>
      <c r="F1" s="82" t="s">
        <v>148</v>
      </c>
    </row>
    <row r="2" spans="1:6" ht="55.9" customHeight="1">
      <c r="A2" s="188" t="s">
        <v>1548</v>
      </c>
      <c r="B2" s="188" t="s">
        <v>149</v>
      </c>
      <c r="C2" s="124" t="s">
        <v>1558</v>
      </c>
      <c r="D2" s="124" t="s">
        <v>1494</v>
      </c>
      <c r="E2" s="81" t="s">
        <v>1644</v>
      </c>
      <c r="F2" s="186" t="s">
        <v>1648</v>
      </c>
    </row>
    <row r="3" spans="1:6" ht="39.4" customHeight="1">
      <c r="A3" s="189"/>
      <c r="B3" s="189"/>
      <c r="C3" s="124" t="s">
        <v>1559</v>
      </c>
      <c r="D3" s="124" t="s">
        <v>1495</v>
      </c>
      <c r="E3" s="81" t="s">
        <v>1644</v>
      </c>
      <c r="F3" s="186"/>
    </row>
    <row r="4" spans="1:6" ht="32.25" customHeight="1">
      <c r="A4" s="189"/>
      <c r="B4" s="189"/>
      <c r="C4" s="124" t="s">
        <v>1560</v>
      </c>
      <c r="D4" s="124" t="s">
        <v>1496</v>
      </c>
      <c r="E4" s="81" t="s">
        <v>1644</v>
      </c>
      <c r="F4" s="186"/>
    </row>
    <row r="5" spans="1:6" ht="32.25" customHeight="1">
      <c r="A5" s="189"/>
      <c r="B5" s="189"/>
      <c r="C5" s="124" t="s">
        <v>1561</v>
      </c>
      <c r="D5" s="124" t="s">
        <v>1497</v>
      </c>
      <c r="E5" s="81" t="s">
        <v>1644</v>
      </c>
      <c r="F5" s="186"/>
    </row>
    <row r="6" spans="1:6" ht="45" customHeight="1">
      <c r="A6" s="189"/>
      <c r="B6" s="189"/>
      <c r="C6" s="124" t="s">
        <v>1562</v>
      </c>
      <c r="D6" s="124" t="s">
        <v>1498</v>
      </c>
      <c r="E6" s="81" t="s">
        <v>1644</v>
      </c>
      <c r="F6" s="186"/>
    </row>
    <row r="7" spans="1:6" ht="42.4" customHeight="1">
      <c r="A7" s="189"/>
      <c r="B7" s="189"/>
      <c r="C7" s="124" t="s">
        <v>1563</v>
      </c>
      <c r="D7" s="124" t="s">
        <v>1499</v>
      </c>
      <c r="E7" s="81" t="s">
        <v>1644</v>
      </c>
      <c r="F7" s="186"/>
    </row>
    <row r="8" spans="1:6" ht="43.15" customHeight="1">
      <c r="A8" s="189"/>
      <c r="B8" s="189"/>
      <c r="C8" s="124" t="s">
        <v>1564</v>
      </c>
      <c r="D8" s="124" t="s">
        <v>1500</v>
      </c>
      <c r="E8" s="81" t="s">
        <v>1644</v>
      </c>
      <c r="F8" s="186"/>
    </row>
    <row r="9" spans="1:6" ht="39.75" customHeight="1">
      <c r="A9" s="189"/>
      <c r="B9" s="189"/>
      <c r="C9" s="124" t="s">
        <v>1565</v>
      </c>
      <c r="D9" s="124" t="s">
        <v>1501</v>
      </c>
      <c r="E9" s="81" t="s">
        <v>1644</v>
      </c>
      <c r="F9" s="186"/>
    </row>
    <row r="10" spans="1:6" ht="40.15" customHeight="1">
      <c r="A10" s="189"/>
      <c r="B10" s="189"/>
      <c r="C10" s="124" t="s">
        <v>1566</v>
      </c>
      <c r="D10" s="124" t="s">
        <v>1502</v>
      </c>
      <c r="E10" s="81" t="s">
        <v>1644</v>
      </c>
      <c r="F10" s="186"/>
    </row>
    <row r="11" spans="1:6" ht="32.25" customHeight="1">
      <c r="A11" s="189"/>
      <c r="B11" s="189"/>
      <c r="C11" s="124" t="s">
        <v>1567</v>
      </c>
      <c r="D11" s="124" t="s">
        <v>1503</v>
      </c>
      <c r="E11" s="81" t="s">
        <v>1644</v>
      </c>
      <c r="F11" s="186"/>
    </row>
    <row r="12" spans="1:6" ht="32.25" customHeight="1">
      <c r="A12" s="189"/>
      <c r="B12" s="189"/>
      <c r="C12" s="124" t="s">
        <v>1568</v>
      </c>
      <c r="D12" s="124" t="s">
        <v>1674</v>
      </c>
      <c r="E12" s="81" t="s">
        <v>1644</v>
      </c>
      <c r="F12" s="186"/>
    </row>
    <row r="13" spans="1:6" ht="32.25" customHeight="1">
      <c r="A13" s="189"/>
      <c r="B13" s="189"/>
      <c r="C13" s="124" t="s">
        <v>1569</v>
      </c>
      <c r="D13" s="124" t="s">
        <v>1504</v>
      </c>
      <c r="E13" s="81" t="s">
        <v>1644</v>
      </c>
      <c r="F13" s="186"/>
    </row>
    <row r="14" spans="1:6" ht="32.25" customHeight="1">
      <c r="A14" s="189"/>
      <c r="B14" s="189"/>
      <c r="C14" s="124" t="s">
        <v>1570</v>
      </c>
      <c r="D14" s="124" t="s">
        <v>1505</v>
      </c>
      <c r="E14" s="81" t="s">
        <v>1644</v>
      </c>
      <c r="F14" s="186"/>
    </row>
    <row r="15" spans="1:6" ht="32.35" customHeight="1">
      <c r="A15" s="189"/>
      <c r="B15" s="189"/>
      <c r="C15" s="124" t="s">
        <v>1571</v>
      </c>
      <c r="D15" s="124" t="s">
        <v>1509</v>
      </c>
      <c r="E15" s="81" t="s">
        <v>1644</v>
      </c>
      <c r="F15" s="186"/>
    </row>
    <row r="16" spans="1:6" ht="32.35" customHeight="1">
      <c r="A16" s="189"/>
      <c r="B16" s="189"/>
      <c r="C16" s="124" t="s">
        <v>1572</v>
      </c>
      <c r="D16" s="124" t="s">
        <v>1506</v>
      </c>
      <c r="E16" s="81" t="s">
        <v>1644</v>
      </c>
      <c r="F16" s="186"/>
    </row>
    <row r="17" spans="1:6" ht="32.35" customHeight="1">
      <c r="A17" s="190"/>
      <c r="B17" s="190"/>
      <c r="C17" s="124" t="s">
        <v>1573</v>
      </c>
      <c r="D17" s="124" t="s">
        <v>1510</v>
      </c>
      <c r="E17" s="81" t="s">
        <v>1644</v>
      </c>
      <c r="F17" s="186"/>
    </row>
    <row r="18" spans="1:6" ht="32.35" customHeight="1">
      <c r="A18" s="188" t="s">
        <v>1549</v>
      </c>
      <c r="B18" s="188" t="s">
        <v>150</v>
      </c>
      <c r="C18" s="124" t="s">
        <v>1574</v>
      </c>
      <c r="D18" s="124" t="s">
        <v>1507</v>
      </c>
      <c r="E18" s="81" t="s">
        <v>1644</v>
      </c>
      <c r="F18" s="186"/>
    </row>
    <row r="19" spans="1:6" ht="52.9" customHeight="1">
      <c r="A19" s="190"/>
      <c r="B19" s="190"/>
      <c r="C19" s="124" t="s">
        <v>1575</v>
      </c>
      <c r="D19" s="124" t="s">
        <v>1508</v>
      </c>
      <c r="E19" s="81" t="s">
        <v>1644</v>
      </c>
      <c r="F19" s="187"/>
    </row>
    <row r="20" spans="1:6" ht="28.5" customHeight="1">
      <c r="A20" s="189"/>
      <c r="B20" s="189"/>
      <c r="C20" s="124" t="s">
        <v>1576</v>
      </c>
      <c r="D20" s="131" t="s">
        <v>1652</v>
      </c>
      <c r="E20" s="81" t="s">
        <v>1644</v>
      </c>
      <c r="F20" s="187"/>
    </row>
    <row r="21" spans="1:6" ht="28.5" customHeight="1">
      <c r="A21" s="189"/>
      <c r="B21" s="189"/>
      <c r="C21" s="124" t="s">
        <v>1577</v>
      </c>
      <c r="D21" s="124" t="s">
        <v>1653</v>
      </c>
      <c r="E21" s="81" t="s">
        <v>1644</v>
      </c>
      <c r="F21" s="187"/>
    </row>
    <row r="22" spans="1:6" ht="45" customHeight="1">
      <c r="A22" s="189"/>
      <c r="B22" s="189"/>
      <c r="C22" s="124" t="s">
        <v>1578</v>
      </c>
      <c r="D22" s="124" t="s">
        <v>1654</v>
      </c>
      <c r="E22" s="81" t="s">
        <v>1644</v>
      </c>
      <c r="F22" s="187"/>
    </row>
    <row r="23" spans="1:6" ht="45.75" customHeight="1">
      <c r="A23" s="189"/>
      <c r="B23" s="189"/>
      <c r="C23" s="124" t="s">
        <v>1579</v>
      </c>
      <c r="D23" s="124" t="s">
        <v>1655</v>
      </c>
      <c r="E23" s="81" t="s">
        <v>1644</v>
      </c>
      <c r="F23" s="187"/>
    </row>
    <row r="24" spans="1:6" ht="42.4" customHeight="1">
      <c r="A24" s="189"/>
      <c r="B24" s="189"/>
      <c r="C24" s="124" t="s">
        <v>1580</v>
      </c>
      <c r="D24" s="124" t="s">
        <v>1656</v>
      </c>
      <c r="E24" s="81" t="s">
        <v>1644</v>
      </c>
      <c r="F24" s="187"/>
    </row>
    <row r="25" spans="1:6" ht="70.150000000000006" customHeight="1">
      <c r="A25" s="189"/>
      <c r="B25" s="189"/>
      <c r="C25" s="124" t="s">
        <v>1581</v>
      </c>
      <c r="D25" s="124" t="s">
        <v>1513</v>
      </c>
      <c r="E25" s="81" t="s">
        <v>1644</v>
      </c>
      <c r="F25" s="187"/>
    </row>
    <row r="26" spans="1:6" ht="49.5" customHeight="1">
      <c r="A26" s="189"/>
      <c r="B26" s="189"/>
      <c r="C26" s="124" t="s">
        <v>1582</v>
      </c>
      <c r="D26" s="124" t="s">
        <v>1657</v>
      </c>
      <c r="E26" s="81" t="s">
        <v>1644</v>
      </c>
      <c r="F26" s="187"/>
    </row>
    <row r="27" spans="1:6" ht="28.5" customHeight="1">
      <c r="A27" s="189"/>
      <c r="B27" s="189"/>
      <c r="C27" s="124" t="s">
        <v>1583</v>
      </c>
      <c r="D27" s="124" t="s">
        <v>1658</v>
      </c>
      <c r="E27" s="81" t="s">
        <v>1644</v>
      </c>
      <c r="F27" s="187"/>
    </row>
    <row r="28" spans="1:6" ht="48.75" customHeight="1">
      <c r="A28" s="189"/>
      <c r="B28" s="189"/>
      <c r="C28" s="124" t="s">
        <v>1584</v>
      </c>
      <c r="D28" s="124" t="s">
        <v>1659</v>
      </c>
      <c r="E28" s="81" t="s">
        <v>1644</v>
      </c>
      <c r="F28" s="187"/>
    </row>
    <row r="29" spans="1:6" ht="201.4" customHeight="1">
      <c r="A29" s="189"/>
      <c r="B29" s="189"/>
      <c r="C29" s="124" t="s">
        <v>1585</v>
      </c>
      <c r="D29" s="124" t="s">
        <v>1660</v>
      </c>
      <c r="E29" s="81" t="s">
        <v>1644</v>
      </c>
      <c r="F29" s="187"/>
    </row>
    <row r="30" spans="1:6" ht="228.75" customHeight="1">
      <c r="A30" s="190"/>
      <c r="B30" s="190"/>
      <c r="C30" s="124" t="s">
        <v>1586</v>
      </c>
      <c r="D30" s="124" t="s">
        <v>1651</v>
      </c>
      <c r="E30" s="81" t="s">
        <v>1644</v>
      </c>
      <c r="F30" s="187"/>
    </row>
    <row r="31" spans="1:6" ht="96" customHeight="1">
      <c r="A31" s="188" t="s">
        <v>1550</v>
      </c>
      <c r="B31" s="188" t="s">
        <v>151</v>
      </c>
      <c r="C31" s="124" t="s">
        <v>1587</v>
      </c>
      <c r="D31" s="124" t="s">
        <v>1514</v>
      </c>
      <c r="E31" s="81" t="s">
        <v>1644</v>
      </c>
      <c r="F31" s="187"/>
    </row>
    <row r="32" spans="1:6" ht="33.4" customHeight="1">
      <c r="A32" s="189"/>
      <c r="B32" s="189"/>
      <c r="C32" s="124" t="s">
        <v>1588</v>
      </c>
      <c r="D32" s="124" t="s">
        <v>1515</v>
      </c>
      <c r="E32" s="81" t="s">
        <v>1644</v>
      </c>
      <c r="F32" s="187"/>
    </row>
    <row r="33" spans="1:6" ht="33.4" customHeight="1">
      <c r="A33" s="190"/>
      <c r="B33" s="190"/>
      <c r="C33" s="124" t="s">
        <v>1589</v>
      </c>
      <c r="D33" s="124" t="s">
        <v>1516</v>
      </c>
      <c r="E33" s="81" t="s">
        <v>1644</v>
      </c>
      <c r="F33" s="187"/>
    </row>
    <row r="34" spans="1:6" ht="33.75" customHeight="1">
      <c r="A34" s="188" t="s">
        <v>1551</v>
      </c>
      <c r="B34" s="188" t="s">
        <v>152</v>
      </c>
      <c r="C34" s="124" t="s">
        <v>1590</v>
      </c>
      <c r="D34" s="124" t="s">
        <v>1519</v>
      </c>
      <c r="E34" s="81" t="s">
        <v>1644</v>
      </c>
      <c r="F34" s="187"/>
    </row>
    <row r="35" spans="1:6" ht="31.25" customHeight="1">
      <c r="A35" s="189"/>
      <c r="B35" s="189"/>
      <c r="C35" s="124" t="s">
        <v>1591</v>
      </c>
      <c r="D35" s="124" t="s">
        <v>1517</v>
      </c>
      <c r="E35" s="81" t="s">
        <v>1644</v>
      </c>
      <c r="F35" s="187"/>
    </row>
    <row r="36" spans="1:6" ht="34.9" customHeight="1">
      <c r="A36" s="190"/>
      <c r="B36" s="190"/>
      <c r="C36" s="124" t="s">
        <v>1592</v>
      </c>
      <c r="D36" s="124" t="s">
        <v>1518</v>
      </c>
      <c r="E36" s="81" t="s">
        <v>1644</v>
      </c>
      <c r="F36" s="187"/>
    </row>
    <row r="37" spans="1:6" ht="51" customHeight="1">
      <c r="A37" s="188" t="s">
        <v>1552</v>
      </c>
      <c r="B37" s="188" t="s">
        <v>153</v>
      </c>
      <c r="C37" s="124" t="s">
        <v>1593</v>
      </c>
      <c r="D37" s="124" t="s">
        <v>1728</v>
      </c>
      <c r="E37" s="81" t="s">
        <v>1645</v>
      </c>
      <c r="F37" s="187"/>
    </row>
    <row r="38" spans="1:6" ht="37.25" customHeight="1">
      <c r="A38" s="189"/>
      <c r="B38" s="189"/>
      <c r="C38" s="124" t="s">
        <v>1594</v>
      </c>
      <c r="D38" s="124" t="s">
        <v>1727</v>
      </c>
      <c r="E38" s="81" t="s">
        <v>1645</v>
      </c>
      <c r="F38" s="187"/>
    </row>
    <row r="39" spans="1:6" ht="31.15" customHeight="1">
      <c r="A39" s="190"/>
      <c r="B39" s="190"/>
      <c r="C39" s="124" t="s">
        <v>1595</v>
      </c>
      <c r="D39" s="124" t="s">
        <v>1649</v>
      </c>
      <c r="E39" s="81" t="s">
        <v>1645</v>
      </c>
      <c r="F39" s="187"/>
    </row>
    <row r="40" spans="1:6" ht="41.65" customHeight="1">
      <c r="A40" s="189"/>
      <c r="B40" s="189"/>
      <c r="C40" s="124" t="s">
        <v>1596</v>
      </c>
      <c r="D40" s="124" t="s">
        <v>1726</v>
      </c>
      <c r="E40" s="81" t="s">
        <v>1645</v>
      </c>
      <c r="F40" s="187"/>
    </row>
    <row r="41" spans="1:6" ht="41.65" customHeight="1">
      <c r="A41" s="189"/>
      <c r="B41" s="189"/>
      <c r="C41" s="124" t="s">
        <v>1597</v>
      </c>
      <c r="D41" s="124" t="s">
        <v>1729</v>
      </c>
      <c r="E41" s="81" t="s">
        <v>1644</v>
      </c>
      <c r="F41" s="187"/>
    </row>
    <row r="42" spans="1:6" ht="41.65" customHeight="1">
      <c r="A42" s="189"/>
      <c r="B42" s="189"/>
      <c r="C42" s="124" t="s">
        <v>1598</v>
      </c>
      <c r="D42" s="124" t="s">
        <v>1730</v>
      </c>
      <c r="E42" s="81" t="s">
        <v>1644</v>
      </c>
      <c r="F42" s="187"/>
    </row>
    <row r="43" spans="1:6" ht="41.65" customHeight="1">
      <c r="A43" s="189"/>
      <c r="B43" s="189"/>
      <c r="C43" s="124" t="s">
        <v>1599</v>
      </c>
      <c r="D43" s="124" t="s">
        <v>1731</v>
      </c>
      <c r="E43" s="81" t="s">
        <v>1644</v>
      </c>
      <c r="F43" s="187"/>
    </row>
    <row r="44" spans="1:6" ht="41.65" customHeight="1">
      <c r="A44" s="189"/>
      <c r="B44" s="189"/>
      <c r="C44" s="124" t="s">
        <v>1600</v>
      </c>
      <c r="D44" s="124" t="s">
        <v>1732</v>
      </c>
      <c r="E44" s="81" t="s">
        <v>1644</v>
      </c>
      <c r="F44" s="187"/>
    </row>
    <row r="45" spans="1:6" ht="41.65" customHeight="1">
      <c r="A45" s="189"/>
      <c r="B45" s="189"/>
      <c r="C45" s="124" t="s">
        <v>1601</v>
      </c>
      <c r="D45" s="124" t="s">
        <v>1733</v>
      </c>
      <c r="E45" s="81" t="s">
        <v>1644</v>
      </c>
      <c r="F45" s="187"/>
    </row>
    <row r="46" spans="1:6" ht="41.65" customHeight="1">
      <c r="A46" s="189"/>
      <c r="B46" s="189"/>
      <c r="C46" s="124" t="s">
        <v>1602</v>
      </c>
      <c r="D46" s="124" t="s">
        <v>1734</v>
      </c>
      <c r="E46" s="81" t="s">
        <v>1644</v>
      </c>
      <c r="F46" s="187"/>
    </row>
    <row r="47" spans="1:6" ht="41.65" customHeight="1">
      <c r="A47" s="189"/>
      <c r="B47" s="189"/>
      <c r="C47" s="124" t="s">
        <v>1603</v>
      </c>
      <c r="D47" s="124" t="s">
        <v>1520</v>
      </c>
      <c r="E47" s="81" t="s">
        <v>1644</v>
      </c>
      <c r="F47" s="187"/>
    </row>
    <row r="48" spans="1:6" ht="41.65" customHeight="1">
      <c r="A48" s="189"/>
      <c r="B48" s="189"/>
      <c r="C48" s="124" t="s">
        <v>1604</v>
      </c>
      <c r="D48" s="124" t="s">
        <v>1521</v>
      </c>
      <c r="E48" s="81" t="s">
        <v>1644</v>
      </c>
      <c r="F48" s="187"/>
    </row>
    <row r="49" spans="1:6" ht="41.65" customHeight="1">
      <c r="A49" s="189"/>
      <c r="B49" s="189"/>
      <c r="C49" s="124" t="s">
        <v>1605</v>
      </c>
      <c r="D49" s="124" t="s">
        <v>1522</v>
      </c>
      <c r="E49" s="81" t="s">
        <v>1644</v>
      </c>
      <c r="F49" s="187"/>
    </row>
    <row r="50" spans="1:6" ht="41.65" customHeight="1">
      <c r="A50" s="189"/>
      <c r="B50" s="189"/>
      <c r="C50" s="124" t="s">
        <v>1606</v>
      </c>
      <c r="D50" s="124" t="s">
        <v>1523</v>
      </c>
      <c r="E50" s="81" t="s">
        <v>1644</v>
      </c>
      <c r="F50" s="187"/>
    </row>
    <row r="51" spans="1:6" ht="41.65" customHeight="1">
      <c r="A51" s="189"/>
      <c r="B51" s="189"/>
      <c r="C51" s="124" t="s">
        <v>1607</v>
      </c>
      <c r="D51" s="124" t="s">
        <v>1511</v>
      </c>
      <c r="E51" s="81" t="s">
        <v>1644</v>
      </c>
      <c r="F51" s="187"/>
    </row>
    <row r="52" spans="1:6" ht="41.65" customHeight="1">
      <c r="A52" s="189"/>
      <c r="B52" s="189"/>
      <c r="C52" s="124" t="s">
        <v>1608</v>
      </c>
      <c r="D52" s="124" t="s">
        <v>1512</v>
      </c>
      <c r="E52" s="81" t="s">
        <v>1644</v>
      </c>
      <c r="F52" s="187"/>
    </row>
    <row r="53" spans="1:6" ht="41.65" customHeight="1">
      <c r="A53" s="189"/>
      <c r="B53" s="189"/>
      <c r="C53" s="124" t="s">
        <v>1609</v>
      </c>
      <c r="D53" s="124" t="s">
        <v>1524</v>
      </c>
      <c r="E53" s="81" t="s">
        <v>1644</v>
      </c>
      <c r="F53" s="187"/>
    </row>
    <row r="54" spans="1:6" ht="41.65" customHeight="1">
      <c r="A54" s="190"/>
      <c r="B54" s="190"/>
      <c r="C54" s="124" t="s">
        <v>1610</v>
      </c>
      <c r="D54" s="124" t="s">
        <v>1525</v>
      </c>
      <c r="E54" s="81" t="s">
        <v>1644</v>
      </c>
      <c r="F54" s="187"/>
    </row>
    <row r="55" spans="1:6" ht="76.900000000000006" customHeight="1">
      <c r="A55" s="188" t="s">
        <v>1553</v>
      </c>
      <c r="B55" s="188" t="s">
        <v>154</v>
      </c>
      <c r="C55" s="124" t="s">
        <v>1611</v>
      </c>
      <c r="D55" s="124" t="s">
        <v>1663</v>
      </c>
      <c r="E55" s="81" t="s">
        <v>1646</v>
      </c>
      <c r="F55" s="187"/>
    </row>
    <row r="56" spans="1:6" ht="40.25" customHeight="1">
      <c r="A56" s="189"/>
      <c r="B56" s="189"/>
      <c r="C56" s="124" t="s">
        <v>1612</v>
      </c>
      <c r="D56" s="124" t="s">
        <v>1662</v>
      </c>
      <c r="E56" s="81" t="s">
        <v>1644</v>
      </c>
      <c r="F56" s="187"/>
    </row>
    <row r="57" spans="1:6" ht="40.25" customHeight="1">
      <c r="A57" s="189"/>
      <c r="B57" s="189"/>
      <c r="C57" s="124" t="s">
        <v>1613</v>
      </c>
      <c r="D57" s="124" t="s">
        <v>1661</v>
      </c>
      <c r="E57" s="81" t="s">
        <v>1644</v>
      </c>
      <c r="F57" s="187"/>
    </row>
    <row r="58" spans="1:6" ht="154.9" customHeight="1">
      <c r="A58" s="189"/>
      <c r="B58" s="189"/>
      <c r="C58" s="124" t="s">
        <v>1614</v>
      </c>
      <c r="D58" s="124" t="s">
        <v>1527</v>
      </c>
      <c r="E58" s="81" t="s">
        <v>1644</v>
      </c>
      <c r="F58" s="187"/>
    </row>
    <row r="59" spans="1:6" ht="40.25" customHeight="1">
      <c r="A59" s="189"/>
      <c r="B59" s="189"/>
      <c r="C59" s="124" t="s">
        <v>1615</v>
      </c>
      <c r="D59" s="124" t="s">
        <v>1664</v>
      </c>
      <c r="E59" s="81" t="s">
        <v>1644</v>
      </c>
      <c r="F59" s="187"/>
    </row>
    <row r="60" spans="1:6" ht="40.25" customHeight="1">
      <c r="A60" s="190"/>
      <c r="B60" s="190"/>
      <c r="C60" s="124" t="s">
        <v>1616</v>
      </c>
      <c r="D60" s="124" t="s">
        <v>1665</v>
      </c>
      <c r="E60" s="81" t="s">
        <v>1644</v>
      </c>
      <c r="F60" s="187"/>
    </row>
    <row r="61" spans="1:6" ht="56.25" customHeight="1">
      <c r="A61" s="188" t="s">
        <v>1554</v>
      </c>
      <c r="B61" s="188" t="s">
        <v>155</v>
      </c>
      <c r="C61" s="124" t="s">
        <v>1617</v>
      </c>
      <c r="D61" s="124" t="s">
        <v>1666</v>
      </c>
      <c r="E61" s="81" t="s">
        <v>1645</v>
      </c>
      <c r="F61" s="187"/>
    </row>
    <row r="62" spans="1:6" ht="53.75" customHeight="1">
      <c r="A62" s="189"/>
      <c r="B62" s="189"/>
      <c r="C62" s="124" t="s">
        <v>1618</v>
      </c>
      <c r="D62" s="124" t="s">
        <v>1528</v>
      </c>
      <c r="E62" s="81" t="s">
        <v>1645</v>
      </c>
      <c r="F62" s="187"/>
    </row>
    <row r="63" spans="1:6" ht="53.75" customHeight="1">
      <c r="A63" s="189"/>
      <c r="B63" s="189"/>
      <c r="C63" s="124" t="s">
        <v>1619</v>
      </c>
      <c r="D63" s="124" t="s">
        <v>1667</v>
      </c>
      <c r="E63" s="81" t="s">
        <v>1644</v>
      </c>
      <c r="F63" s="187"/>
    </row>
    <row r="64" spans="1:6" ht="53.75" customHeight="1">
      <c r="A64" s="189"/>
      <c r="B64" s="189"/>
      <c r="C64" s="124" t="s">
        <v>1620</v>
      </c>
      <c r="D64" s="124" t="s">
        <v>1668</v>
      </c>
      <c r="E64" s="81" t="s">
        <v>1644</v>
      </c>
      <c r="F64" s="187"/>
    </row>
    <row r="65" spans="1:6" ht="53.75" customHeight="1">
      <c r="A65" s="189"/>
      <c r="B65" s="189"/>
      <c r="C65" s="124" t="s">
        <v>1621</v>
      </c>
      <c r="D65" s="124" t="s">
        <v>1669</v>
      </c>
      <c r="E65" s="81" t="s">
        <v>1644</v>
      </c>
      <c r="F65" s="187"/>
    </row>
    <row r="66" spans="1:6" ht="53.75" customHeight="1">
      <c r="A66" s="189"/>
      <c r="B66" s="189"/>
      <c r="C66" s="124" t="s">
        <v>1622</v>
      </c>
      <c r="D66" s="124" t="s">
        <v>1670</v>
      </c>
      <c r="E66" s="81" t="s">
        <v>1644</v>
      </c>
      <c r="F66" s="187"/>
    </row>
    <row r="67" spans="1:6" ht="53.75" customHeight="1">
      <c r="A67" s="189"/>
      <c r="B67" s="189"/>
      <c r="C67" s="124" t="s">
        <v>1623</v>
      </c>
      <c r="D67" s="124" t="s">
        <v>1671</v>
      </c>
      <c r="E67" s="81" t="s">
        <v>1644</v>
      </c>
      <c r="F67" s="187"/>
    </row>
    <row r="68" spans="1:6" ht="53.75" customHeight="1">
      <c r="A68" s="189"/>
      <c r="B68" s="189"/>
      <c r="C68" s="124" t="s">
        <v>1624</v>
      </c>
      <c r="D68" s="124" t="s">
        <v>1672</v>
      </c>
      <c r="E68" s="81" t="s">
        <v>1644</v>
      </c>
      <c r="F68" s="187"/>
    </row>
    <row r="69" spans="1:6" ht="53.75" customHeight="1">
      <c r="A69" s="190"/>
      <c r="B69" s="190"/>
      <c r="C69" s="124" t="s">
        <v>1625</v>
      </c>
      <c r="D69" s="124" t="s">
        <v>1673</v>
      </c>
      <c r="E69" s="81" t="s">
        <v>1644</v>
      </c>
      <c r="F69" s="187"/>
    </row>
    <row r="70" spans="1:6" ht="68.25" customHeight="1">
      <c r="A70" s="188" t="s">
        <v>1555</v>
      </c>
      <c r="B70" s="188" t="s">
        <v>156</v>
      </c>
      <c r="C70" s="124" t="s">
        <v>1626</v>
      </c>
      <c r="D70" s="124" t="s">
        <v>1529</v>
      </c>
      <c r="E70" s="81" t="s">
        <v>1647</v>
      </c>
      <c r="F70" s="187"/>
    </row>
    <row r="71" spans="1:6" ht="68.25" customHeight="1">
      <c r="A71" s="189"/>
      <c r="B71" s="189"/>
      <c r="C71" s="124" t="s">
        <v>1627</v>
      </c>
      <c r="D71" s="124" t="s">
        <v>1530</v>
      </c>
      <c r="E71" s="81" t="s">
        <v>1647</v>
      </c>
      <c r="F71" s="187"/>
    </row>
    <row r="72" spans="1:6" ht="68.25" customHeight="1">
      <c r="A72" s="129" t="s">
        <v>1556</v>
      </c>
      <c r="B72" s="129" t="s">
        <v>157</v>
      </c>
      <c r="C72" s="124" t="s">
        <v>1628</v>
      </c>
      <c r="D72" s="124" t="s">
        <v>1531</v>
      </c>
      <c r="E72" s="81" t="s">
        <v>1645</v>
      </c>
      <c r="F72" s="187"/>
    </row>
    <row r="73" spans="1:6" ht="39.4" customHeight="1">
      <c r="A73" s="191" t="s">
        <v>1557</v>
      </c>
      <c r="B73" s="191" t="s">
        <v>159</v>
      </c>
      <c r="C73" s="124" t="s">
        <v>1629</v>
      </c>
      <c r="D73" s="80" t="s">
        <v>1532</v>
      </c>
      <c r="E73" s="81" t="s">
        <v>1644</v>
      </c>
      <c r="F73" s="187"/>
    </row>
    <row r="74" spans="1:6" ht="65.25" customHeight="1">
      <c r="A74" s="192"/>
      <c r="B74" s="192"/>
      <c r="C74" s="124" t="s">
        <v>1630</v>
      </c>
      <c r="D74" s="80" t="s">
        <v>1533</v>
      </c>
      <c r="E74" s="81" t="s">
        <v>1644</v>
      </c>
      <c r="F74" s="187"/>
    </row>
    <row r="75" spans="1:6" ht="41.25" customHeight="1">
      <c r="A75" s="192"/>
      <c r="B75" s="192"/>
      <c r="C75" s="124" t="s">
        <v>1631</v>
      </c>
      <c r="D75" s="80" t="s">
        <v>160</v>
      </c>
      <c r="E75" s="81" t="s">
        <v>1644</v>
      </c>
      <c r="F75" s="187"/>
    </row>
    <row r="76" spans="1:6" ht="27.75" customHeight="1">
      <c r="A76" s="192"/>
      <c r="B76" s="192"/>
      <c r="C76" s="124" t="s">
        <v>1632</v>
      </c>
      <c r="D76" s="80" t="s">
        <v>161</v>
      </c>
      <c r="E76" s="81" t="s">
        <v>1644</v>
      </c>
      <c r="F76" s="187"/>
    </row>
    <row r="77" spans="1:6" ht="81.75" customHeight="1">
      <c r="A77" s="192"/>
      <c r="B77" s="192"/>
      <c r="C77" s="124" t="s">
        <v>1633</v>
      </c>
      <c r="D77" s="80" t="s">
        <v>162</v>
      </c>
      <c r="E77" s="81" t="s">
        <v>1644</v>
      </c>
      <c r="F77" s="187"/>
    </row>
    <row r="78" spans="1:6" ht="14.25" customHeight="1">
      <c r="A78" s="192"/>
      <c r="B78" s="192"/>
      <c r="C78" s="124" t="s">
        <v>1634</v>
      </c>
      <c r="D78" s="80" t="s">
        <v>163</v>
      </c>
      <c r="E78" s="81" t="s">
        <v>1644</v>
      </c>
      <c r="F78" s="187"/>
    </row>
    <row r="79" spans="1:6" ht="14.25" customHeight="1">
      <c r="A79" s="192"/>
      <c r="B79" s="192"/>
      <c r="C79" s="124" t="s">
        <v>1635</v>
      </c>
      <c r="D79" s="80" t="s">
        <v>164</v>
      </c>
      <c r="E79" s="81" t="s">
        <v>1644</v>
      </c>
      <c r="F79" s="187"/>
    </row>
    <row r="80" spans="1:6" ht="14.25" customHeight="1">
      <c r="A80" s="192"/>
      <c r="B80" s="192"/>
      <c r="C80" s="124" t="s">
        <v>1636</v>
      </c>
      <c r="D80" s="80" t="s">
        <v>165</v>
      </c>
      <c r="E80" s="81" t="s">
        <v>1644</v>
      </c>
      <c r="F80" s="187"/>
    </row>
    <row r="81" spans="1:6" ht="14.25" customHeight="1">
      <c r="A81" s="192"/>
      <c r="B81" s="192"/>
      <c r="C81" s="124" t="s">
        <v>1637</v>
      </c>
      <c r="D81" s="80" t="s">
        <v>166</v>
      </c>
      <c r="E81" s="81" t="s">
        <v>1644</v>
      </c>
      <c r="F81" s="187"/>
    </row>
    <row r="82" spans="1:6" ht="68.25" customHeight="1">
      <c r="A82" s="192"/>
      <c r="B82" s="192"/>
      <c r="C82" s="124" t="s">
        <v>1638</v>
      </c>
      <c r="D82" s="80" t="s">
        <v>167</v>
      </c>
      <c r="E82" s="81" t="s">
        <v>1644</v>
      </c>
      <c r="F82" s="187"/>
    </row>
    <row r="83" spans="1:6" ht="14.25" customHeight="1">
      <c r="A83" s="192"/>
      <c r="B83" s="192"/>
      <c r="C83" s="124" t="s">
        <v>1639</v>
      </c>
      <c r="D83" s="80" t="s">
        <v>168</v>
      </c>
      <c r="E83" s="81" t="s">
        <v>1644</v>
      </c>
      <c r="F83" s="187"/>
    </row>
    <row r="84" spans="1:6" ht="27.75" customHeight="1">
      <c r="A84" s="192"/>
      <c r="B84" s="192"/>
      <c r="C84" s="124" t="s">
        <v>1640</v>
      </c>
      <c r="D84" s="80" t="s">
        <v>1650</v>
      </c>
      <c r="E84" s="81" t="s">
        <v>1644</v>
      </c>
      <c r="F84" s="187"/>
    </row>
    <row r="85" spans="1:6" ht="14.25" customHeight="1">
      <c r="A85" s="192"/>
      <c r="B85" s="192"/>
      <c r="C85" s="124" t="s">
        <v>1641</v>
      </c>
      <c r="D85" s="80" t="s">
        <v>169</v>
      </c>
      <c r="E85" s="81" t="s">
        <v>1644</v>
      </c>
      <c r="F85" s="187"/>
    </row>
    <row r="86" spans="1:6" ht="14.25" customHeight="1">
      <c r="A86" s="192"/>
      <c r="B86" s="192"/>
      <c r="C86" s="124" t="s">
        <v>1642</v>
      </c>
      <c r="D86" s="79" t="s">
        <v>170</v>
      </c>
      <c r="E86" s="81" t="s">
        <v>1644</v>
      </c>
      <c r="F86" s="187"/>
    </row>
    <row r="87" spans="1:6" ht="14.25" customHeight="1">
      <c r="A87" s="192"/>
      <c r="B87" s="192"/>
      <c r="C87" s="124" t="s">
        <v>1643</v>
      </c>
      <c r="D87" s="130" t="s">
        <v>171</v>
      </c>
      <c r="E87" s="81" t="s">
        <v>1644</v>
      </c>
      <c r="F87" s="187"/>
    </row>
  </sheetData>
  <mergeCells count="23">
    <mergeCell ref="B40:B54"/>
    <mergeCell ref="A55:A60"/>
    <mergeCell ref="B55:B60"/>
    <mergeCell ref="A73:A87"/>
    <mergeCell ref="B73:B87"/>
    <mergeCell ref="A70:A71"/>
    <mergeCell ref="B70:B71"/>
    <mergeCell ref="F2:F87"/>
    <mergeCell ref="B2:B17"/>
    <mergeCell ref="A2:A17"/>
    <mergeCell ref="B18:B19"/>
    <mergeCell ref="A18:A19"/>
    <mergeCell ref="A20:A30"/>
    <mergeCell ref="B20:B30"/>
    <mergeCell ref="B31:B33"/>
    <mergeCell ref="A31:A33"/>
    <mergeCell ref="A34:A36"/>
    <mergeCell ref="B34:B36"/>
    <mergeCell ref="A37:A39"/>
    <mergeCell ref="B37:B39"/>
    <mergeCell ref="A40:A54"/>
    <mergeCell ref="A61:A69"/>
    <mergeCell ref="B61:B69"/>
  </mergeCells>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EB202-B607-4E25-B8BF-1C946EF927A5}">
  <sheetPr>
    <outlinePr summaryBelow="0" summaryRight="0"/>
  </sheetPr>
  <dimension ref="A1:BA24"/>
  <sheetViews>
    <sheetView topLeftCell="AD1" workbookViewId="0">
      <selection activeCell="AH10" sqref="AH10"/>
    </sheetView>
  </sheetViews>
  <sheetFormatPr defaultColWidth="9" defaultRowHeight="13.9" customHeight="1"/>
  <cols>
    <col min="1" max="2" width="21.17578125" style="3" customWidth="1"/>
    <col min="3" max="3" width="17.8203125" style="3" customWidth="1"/>
    <col min="4" max="9" width="5.5859375" style="3" customWidth="1"/>
    <col min="10" max="10" width="9.46875" style="3" customWidth="1"/>
    <col min="11" max="11" width="34.8203125" style="3" customWidth="1"/>
    <col min="12" max="12" width="30.3515625" style="3" customWidth="1"/>
    <col min="13" max="13" width="31.8203125" style="3" customWidth="1"/>
    <col min="14" max="14" width="9.17578125" style="3" customWidth="1"/>
    <col min="15" max="15" width="5.5859375" style="3" customWidth="1"/>
    <col min="16" max="16" width="10.3515625" style="3" customWidth="1"/>
    <col min="17" max="17" width="5.5859375" style="3" customWidth="1"/>
    <col min="18" max="18" width="10.3515625" style="3" customWidth="1"/>
    <col min="19" max="19" width="5.5859375" style="3" customWidth="1"/>
    <col min="20" max="20" width="9.5859375" style="3" customWidth="1"/>
    <col min="21" max="21" width="5.5859375" style="3" customWidth="1"/>
    <col min="22" max="22" width="12.3515625" style="3" customWidth="1"/>
    <col min="23" max="23" width="5.5859375" style="3" customWidth="1"/>
    <col min="24" max="24" width="15.46875" style="3" customWidth="1"/>
    <col min="25" max="27" width="5.5859375" style="3" customWidth="1"/>
    <col min="28" max="28" width="12.8203125" style="3" customWidth="1"/>
    <col min="29" max="30" width="23.46875" style="3" customWidth="1"/>
    <col min="31" max="31" width="19.17578125" style="3" customWidth="1"/>
    <col min="32" max="32" width="45.17578125" style="3" customWidth="1"/>
    <col min="33" max="33" width="6.5859375" style="3" customWidth="1"/>
    <col min="34" max="34" width="45.17578125" style="3" customWidth="1"/>
    <col min="35" max="35" width="5.5859375" style="3" customWidth="1"/>
    <col min="36" max="37" width="8" style="3" customWidth="1"/>
    <col min="38" max="38" width="8.17578125" style="3" customWidth="1"/>
    <col min="39" max="39" width="5.5859375" style="3" customWidth="1"/>
    <col min="40" max="41" width="10.17578125" style="3" customWidth="1"/>
    <col min="42" max="42" width="9.46875" style="3" customWidth="1"/>
    <col min="43" max="47" width="5.5859375" style="3" customWidth="1"/>
    <col min="48" max="49" width="16.5859375" style="3" customWidth="1"/>
    <col min="50" max="50" width="18.3515625" style="3" customWidth="1"/>
    <col min="51" max="51" width="95.5859375" style="3" customWidth="1"/>
    <col min="52" max="52" width="18.3515625" style="3" customWidth="1"/>
    <col min="53" max="53" width="69.3515625" style="3" customWidth="1"/>
  </cols>
  <sheetData>
    <row r="1" spans="1:53" ht="15" customHeight="1">
      <c r="A1" s="193" t="s">
        <v>172</v>
      </c>
      <c r="B1" s="193"/>
      <c r="C1" s="193"/>
      <c r="D1" s="193" t="s">
        <v>173</v>
      </c>
      <c r="E1" s="193"/>
      <c r="F1" s="193"/>
      <c r="G1" s="193"/>
      <c r="H1" s="193"/>
      <c r="I1" s="193"/>
      <c r="J1" s="193" t="s">
        <v>174</v>
      </c>
      <c r="K1" s="193" t="s">
        <v>175</v>
      </c>
      <c r="L1" s="193" t="s">
        <v>176</v>
      </c>
      <c r="M1" s="193" t="s">
        <v>177</v>
      </c>
      <c r="N1" s="193" t="s">
        <v>178</v>
      </c>
      <c r="O1" s="193" t="s">
        <v>179</v>
      </c>
      <c r="P1" s="193"/>
      <c r="Q1" s="193"/>
      <c r="R1" s="193"/>
      <c r="S1" s="193"/>
      <c r="T1" s="193"/>
      <c r="U1" s="193"/>
      <c r="V1" s="193"/>
      <c r="W1" s="193"/>
      <c r="X1" s="193"/>
      <c r="Y1" s="193"/>
      <c r="Z1" s="193"/>
      <c r="AA1" s="193"/>
      <c r="AB1" s="193" t="s">
        <v>180</v>
      </c>
      <c r="AC1" s="193" t="s">
        <v>181</v>
      </c>
      <c r="AD1" s="193" t="s">
        <v>182</v>
      </c>
      <c r="AE1" s="193" t="s">
        <v>183</v>
      </c>
      <c r="AF1" s="193" t="s">
        <v>184</v>
      </c>
      <c r="AG1" s="193" t="s">
        <v>833</v>
      </c>
      <c r="AH1" s="193" t="s">
        <v>834</v>
      </c>
      <c r="AI1" s="193" t="s">
        <v>186</v>
      </c>
      <c r="AJ1" s="193"/>
      <c r="AK1" s="193"/>
      <c r="AL1" s="193"/>
      <c r="AM1" s="193"/>
      <c r="AN1" s="193"/>
      <c r="AO1" s="193"/>
      <c r="AP1" s="193"/>
      <c r="AQ1" s="193"/>
      <c r="AR1" s="193"/>
      <c r="AS1" s="193"/>
      <c r="AT1" s="193"/>
      <c r="AU1" s="193"/>
      <c r="AV1" s="193" t="s">
        <v>187</v>
      </c>
      <c r="AW1" s="193" t="s">
        <v>1442</v>
      </c>
      <c r="AX1" s="193" t="s">
        <v>1443</v>
      </c>
      <c r="AY1" s="193" t="s">
        <v>188</v>
      </c>
      <c r="AZ1" s="193" t="s">
        <v>189</v>
      </c>
      <c r="BA1" s="193" t="s">
        <v>190</v>
      </c>
    </row>
    <row r="2" spans="1:53" ht="120" customHeight="1">
      <c r="A2" s="77" t="s">
        <v>835</v>
      </c>
      <c r="B2" s="77" t="s">
        <v>836</v>
      </c>
      <c r="C2" s="77" t="s">
        <v>837</v>
      </c>
      <c r="D2" s="77" t="s">
        <v>192</v>
      </c>
      <c r="E2" s="77" t="s">
        <v>193</v>
      </c>
      <c r="F2" s="77" t="s">
        <v>194</v>
      </c>
      <c r="G2" s="77" t="s">
        <v>195</v>
      </c>
      <c r="H2" s="77" t="s">
        <v>196</v>
      </c>
      <c r="I2" s="77" t="s">
        <v>197</v>
      </c>
      <c r="J2" s="193"/>
      <c r="K2" s="193"/>
      <c r="L2" s="193"/>
      <c r="M2" s="193"/>
      <c r="N2" s="193"/>
      <c r="O2" s="77" t="s">
        <v>198</v>
      </c>
      <c r="P2" s="77" t="s">
        <v>199</v>
      </c>
      <c r="Q2" s="77" t="s">
        <v>200</v>
      </c>
      <c r="R2" s="77" t="s">
        <v>199</v>
      </c>
      <c r="S2" s="77" t="s">
        <v>201</v>
      </c>
      <c r="T2" s="77" t="s">
        <v>199</v>
      </c>
      <c r="U2" s="77" t="s">
        <v>838</v>
      </c>
      <c r="V2" s="77" t="s">
        <v>199</v>
      </c>
      <c r="W2" s="77" t="s">
        <v>203</v>
      </c>
      <c r="X2" s="77" t="s">
        <v>199</v>
      </c>
      <c r="Y2" s="77" t="s">
        <v>204</v>
      </c>
      <c r="Z2" s="77" t="s">
        <v>205</v>
      </c>
      <c r="AA2" s="77" t="s">
        <v>206</v>
      </c>
      <c r="AB2" s="193"/>
      <c r="AC2" s="193"/>
      <c r="AD2" s="193"/>
      <c r="AE2" s="193"/>
      <c r="AF2" s="193"/>
      <c r="AG2" s="193"/>
      <c r="AH2" s="193"/>
      <c r="AI2" s="77" t="s">
        <v>198</v>
      </c>
      <c r="AJ2" s="77" t="s">
        <v>199</v>
      </c>
      <c r="AK2" s="77" t="s">
        <v>200</v>
      </c>
      <c r="AL2" s="77" t="s">
        <v>199</v>
      </c>
      <c r="AM2" s="77" t="s">
        <v>201</v>
      </c>
      <c r="AN2" s="77" t="s">
        <v>199</v>
      </c>
      <c r="AO2" s="77" t="s">
        <v>838</v>
      </c>
      <c r="AP2" s="77" t="s">
        <v>199</v>
      </c>
      <c r="AQ2" s="77" t="s">
        <v>203</v>
      </c>
      <c r="AR2" s="77" t="s">
        <v>199</v>
      </c>
      <c r="AS2" s="77" t="s">
        <v>204</v>
      </c>
      <c r="AT2" s="77" t="s">
        <v>205</v>
      </c>
      <c r="AU2" s="77" t="s">
        <v>206</v>
      </c>
      <c r="AV2" s="193"/>
      <c r="AW2" s="193"/>
      <c r="AX2" s="193"/>
      <c r="AY2" s="193"/>
      <c r="AZ2" s="193"/>
      <c r="BA2" s="193"/>
    </row>
    <row r="3" spans="1:53" s="22" customFormat="1" ht="122.25" customHeight="1">
      <c r="A3" s="29" t="s">
        <v>839</v>
      </c>
      <c r="B3" s="30" t="s">
        <v>839</v>
      </c>
      <c r="C3" s="30" t="s">
        <v>840</v>
      </c>
      <c r="D3" s="30" t="s">
        <v>208</v>
      </c>
      <c r="E3" s="30" t="s">
        <v>208</v>
      </c>
      <c r="F3" s="30" t="s">
        <v>208</v>
      </c>
      <c r="G3" s="30" t="s">
        <v>208</v>
      </c>
      <c r="H3" s="30" t="s">
        <v>208</v>
      </c>
      <c r="I3" s="30" t="s">
        <v>208</v>
      </c>
      <c r="J3" s="30" t="s">
        <v>841</v>
      </c>
      <c r="K3" s="30" t="s">
        <v>842</v>
      </c>
      <c r="L3" s="30" t="s">
        <v>843</v>
      </c>
      <c r="M3" s="30" t="s">
        <v>844</v>
      </c>
      <c r="N3" s="30" t="s">
        <v>845</v>
      </c>
      <c r="O3" s="30">
        <v>3</v>
      </c>
      <c r="P3" s="30" t="s">
        <v>846</v>
      </c>
      <c r="Q3" s="30">
        <v>3</v>
      </c>
      <c r="R3" s="30" t="s">
        <v>847</v>
      </c>
      <c r="S3" s="30">
        <v>3</v>
      </c>
      <c r="T3" s="30" t="s">
        <v>848</v>
      </c>
      <c r="U3" s="30">
        <v>3</v>
      </c>
      <c r="V3" s="30" t="s">
        <v>849</v>
      </c>
      <c r="W3" s="30">
        <v>3</v>
      </c>
      <c r="X3" s="30" t="s">
        <v>850</v>
      </c>
      <c r="Y3" s="30">
        <f t="shared" ref="Y3:Y13" si="0">Q3+S3+W3</f>
        <v>9</v>
      </c>
      <c r="Z3" s="30">
        <f t="shared" ref="Z3:Z13" si="1">O3+U3</f>
        <v>6</v>
      </c>
      <c r="AA3" s="30">
        <f t="shared" ref="AA3:AA13" si="2">Y3*Z3</f>
        <v>54</v>
      </c>
      <c r="AB3" s="30" t="s">
        <v>287</v>
      </c>
      <c r="AC3" s="30"/>
      <c r="AD3" s="30"/>
      <c r="AE3" s="30" t="s">
        <v>851</v>
      </c>
      <c r="AF3" s="30" t="s">
        <v>852</v>
      </c>
      <c r="AG3" s="30"/>
      <c r="AH3" s="30" t="s">
        <v>1444</v>
      </c>
      <c r="AI3" s="30">
        <v>1</v>
      </c>
      <c r="AJ3" s="30" t="s">
        <v>853</v>
      </c>
      <c r="AK3" s="30">
        <v>2</v>
      </c>
      <c r="AL3" s="30" t="s">
        <v>854</v>
      </c>
      <c r="AM3" s="30">
        <v>1</v>
      </c>
      <c r="AN3" s="30" t="s">
        <v>855</v>
      </c>
      <c r="AO3" s="30">
        <v>2</v>
      </c>
      <c r="AP3" s="30" t="s">
        <v>856</v>
      </c>
      <c r="AQ3" s="30">
        <v>1</v>
      </c>
      <c r="AR3" s="30" t="s">
        <v>857</v>
      </c>
      <c r="AS3" s="30">
        <f t="shared" ref="AS3:AS13" si="3">AK3+AM3+AQ3</f>
        <v>4</v>
      </c>
      <c r="AT3" s="30">
        <f t="shared" ref="AT3:AT13" si="4">AI3+AO3</f>
        <v>3</v>
      </c>
      <c r="AU3" s="30">
        <f t="shared" ref="AU3:AU13" si="5">AS3*AT3</f>
        <v>12</v>
      </c>
      <c r="AV3" s="30" t="s">
        <v>226</v>
      </c>
      <c r="AW3" s="30"/>
      <c r="AX3" s="30" t="s">
        <v>858</v>
      </c>
      <c r="AY3" s="102" t="s">
        <v>859</v>
      </c>
      <c r="AZ3" s="22" t="s">
        <v>860</v>
      </c>
      <c r="BA3" s="22" t="s">
        <v>861</v>
      </c>
    </row>
    <row r="4" spans="1:53" s="22" customFormat="1" ht="122.25" customHeight="1">
      <c r="A4" s="29" t="s">
        <v>839</v>
      </c>
      <c r="B4" s="30" t="s">
        <v>839</v>
      </c>
      <c r="C4" s="30" t="s">
        <v>840</v>
      </c>
      <c r="D4" s="30" t="s">
        <v>208</v>
      </c>
      <c r="E4" s="30" t="s">
        <v>208</v>
      </c>
      <c r="F4" s="30" t="s">
        <v>208</v>
      </c>
      <c r="G4" s="30"/>
      <c r="H4" s="30"/>
      <c r="I4" s="30" t="s">
        <v>208</v>
      </c>
      <c r="J4" s="30" t="s">
        <v>862</v>
      </c>
      <c r="K4" s="30" t="s">
        <v>863</v>
      </c>
      <c r="L4" s="30" t="s">
        <v>864</v>
      </c>
      <c r="M4" s="30" t="s">
        <v>865</v>
      </c>
      <c r="N4" s="30" t="s">
        <v>845</v>
      </c>
      <c r="O4" s="30">
        <v>3</v>
      </c>
      <c r="P4" s="30" t="s">
        <v>866</v>
      </c>
      <c r="Q4" s="30">
        <v>3</v>
      </c>
      <c r="R4" s="30" t="s">
        <v>867</v>
      </c>
      <c r="S4" s="30">
        <v>2</v>
      </c>
      <c r="T4" s="30" t="s">
        <v>868</v>
      </c>
      <c r="U4" s="30">
        <v>3</v>
      </c>
      <c r="V4" s="30" t="s">
        <v>849</v>
      </c>
      <c r="W4" s="30">
        <v>3</v>
      </c>
      <c r="X4" s="30" t="s">
        <v>869</v>
      </c>
      <c r="Y4" s="30">
        <f t="shared" si="0"/>
        <v>8</v>
      </c>
      <c r="Z4" s="30">
        <f t="shared" si="1"/>
        <v>6</v>
      </c>
      <c r="AA4" s="30">
        <f t="shared" si="2"/>
        <v>48</v>
      </c>
      <c r="AB4" s="30" t="s">
        <v>287</v>
      </c>
      <c r="AC4" s="30"/>
      <c r="AD4" s="30"/>
      <c r="AE4" s="30" t="s">
        <v>870</v>
      </c>
      <c r="AF4" s="30" t="s">
        <v>871</v>
      </c>
      <c r="AG4" s="30"/>
      <c r="AH4" s="30" t="s">
        <v>872</v>
      </c>
      <c r="AI4" s="30">
        <v>1</v>
      </c>
      <c r="AJ4" s="30" t="s">
        <v>873</v>
      </c>
      <c r="AK4" s="30">
        <v>1</v>
      </c>
      <c r="AL4" s="30" t="s">
        <v>873</v>
      </c>
      <c r="AM4" s="30">
        <v>1</v>
      </c>
      <c r="AN4" s="30" t="s">
        <v>873</v>
      </c>
      <c r="AO4" s="30">
        <v>1</v>
      </c>
      <c r="AP4" s="30" t="s">
        <v>874</v>
      </c>
      <c r="AQ4" s="30">
        <v>1</v>
      </c>
      <c r="AR4" s="30" t="s">
        <v>875</v>
      </c>
      <c r="AS4" s="30">
        <f t="shared" si="3"/>
        <v>3</v>
      </c>
      <c r="AT4" s="30">
        <f t="shared" si="4"/>
        <v>2</v>
      </c>
      <c r="AU4" s="30">
        <f t="shared" si="5"/>
        <v>6</v>
      </c>
      <c r="AV4" s="30" t="s">
        <v>226</v>
      </c>
      <c r="AW4" s="30"/>
      <c r="AX4" s="30" t="s">
        <v>876</v>
      </c>
      <c r="AY4" s="102" t="s">
        <v>877</v>
      </c>
      <c r="AZ4" s="22" t="s">
        <v>878</v>
      </c>
      <c r="BA4" s="22" t="s">
        <v>879</v>
      </c>
    </row>
    <row r="5" spans="1:53" s="22" customFormat="1" ht="95.25" customHeight="1">
      <c r="A5" s="29" t="s">
        <v>880</v>
      </c>
      <c r="B5" s="30" t="s">
        <v>881</v>
      </c>
      <c r="C5" s="30" t="s">
        <v>882</v>
      </c>
      <c r="D5" s="30"/>
      <c r="E5" s="30" t="s">
        <v>208</v>
      </c>
      <c r="F5" s="30" t="s">
        <v>208</v>
      </c>
      <c r="G5" s="30"/>
      <c r="H5" s="30"/>
      <c r="I5" s="30"/>
      <c r="J5" s="30" t="s">
        <v>883</v>
      </c>
      <c r="K5" s="30" t="s">
        <v>884</v>
      </c>
      <c r="L5" s="30" t="s">
        <v>885</v>
      </c>
      <c r="M5" s="30" t="s">
        <v>886</v>
      </c>
      <c r="N5" s="30" t="s">
        <v>887</v>
      </c>
      <c r="O5" s="30">
        <v>2</v>
      </c>
      <c r="P5" s="30" t="s">
        <v>888</v>
      </c>
      <c r="Q5" s="30">
        <v>2</v>
      </c>
      <c r="R5" s="30" t="s">
        <v>889</v>
      </c>
      <c r="S5" s="30">
        <v>1</v>
      </c>
      <c r="T5" s="30" t="s">
        <v>890</v>
      </c>
      <c r="U5" s="30">
        <v>2</v>
      </c>
      <c r="V5" s="30" t="s">
        <v>891</v>
      </c>
      <c r="W5" s="30">
        <v>1</v>
      </c>
      <c r="X5" s="30" t="s">
        <v>892</v>
      </c>
      <c r="Y5" s="30">
        <f t="shared" si="0"/>
        <v>4</v>
      </c>
      <c r="Z5" s="30">
        <f t="shared" si="1"/>
        <v>4</v>
      </c>
      <c r="AA5" s="30">
        <f t="shared" si="2"/>
        <v>16</v>
      </c>
      <c r="AB5" s="30" t="s">
        <v>226</v>
      </c>
      <c r="AC5" s="30"/>
      <c r="AD5" s="30"/>
      <c r="AE5" s="30" t="s">
        <v>893</v>
      </c>
      <c r="AF5" s="30" t="s">
        <v>894</v>
      </c>
      <c r="AG5" s="30"/>
      <c r="AH5" s="30" t="s">
        <v>1445</v>
      </c>
      <c r="AI5" s="30">
        <v>1</v>
      </c>
      <c r="AJ5" s="30" t="s">
        <v>895</v>
      </c>
      <c r="AK5" s="30">
        <v>1</v>
      </c>
      <c r="AL5" s="30" t="s">
        <v>896</v>
      </c>
      <c r="AM5" s="30">
        <v>1</v>
      </c>
      <c r="AN5" s="30" t="s">
        <v>897</v>
      </c>
      <c r="AO5" s="30">
        <v>2</v>
      </c>
      <c r="AP5" s="30" t="s">
        <v>898</v>
      </c>
      <c r="AQ5" s="30">
        <v>1</v>
      </c>
      <c r="AR5" s="30" t="s">
        <v>899</v>
      </c>
      <c r="AS5" s="30">
        <f t="shared" si="3"/>
        <v>3</v>
      </c>
      <c r="AT5" s="30">
        <f t="shared" si="4"/>
        <v>3</v>
      </c>
      <c r="AU5" s="30">
        <f t="shared" si="5"/>
        <v>9</v>
      </c>
      <c r="AV5" s="30" t="s">
        <v>226</v>
      </c>
      <c r="AW5" s="30"/>
      <c r="AX5" s="30" t="s">
        <v>900</v>
      </c>
      <c r="AY5" s="102" t="s">
        <v>901</v>
      </c>
      <c r="AZ5" s="102" t="s">
        <v>902</v>
      </c>
      <c r="BA5" s="102" t="s">
        <v>903</v>
      </c>
    </row>
    <row r="6" spans="1:53" s="22" customFormat="1" ht="95.25" customHeight="1">
      <c r="A6" s="29" t="s">
        <v>880</v>
      </c>
      <c r="B6" s="30" t="s">
        <v>881</v>
      </c>
      <c r="C6" s="30" t="s">
        <v>904</v>
      </c>
      <c r="D6" s="30"/>
      <c r="E6" s="30" t="s">
        <v>208</v>
      </c>
      <c r="F6" s="30"/>
      <c r="G6" s="30" t="s">
        <v>208</v>
      </c>
      <c r="H6" s="30"/>
      <c r="I6" s="30" t="s">
        <v>208</v>
      </c>
      <c r="J6" s="30" t="s">
        <v>905</v>
      </c>
      <c r="K6" s="30" t="s">
        <v>1412</v>
      </c>
      <c r="L6" s="30" t="s">
        <v>906</v>
      </c>
      <c r="M6" s="30" t="s">
        <v>907</v>
      </c>
      <c r="N6" s="30" t="s">
        <v>845</v>
      </c>
      <c r="O6" s="30">
        <v>3</v>
      </c>
      <c r="P6" s="30" t="s">
        <v>908</v>
      </c>
      <c r="Q6" s="30">
        <v>3</v>
      </c>
      <c r="R6" s="30" t="s">
        <v>909</v>
      </c>
      <c r="S6" s="30">
        <v>2</v>
      </c>
      <c r="T6" s="30" t="s">
        <v>910</v>
      </c>
      <c r="U6" s="30">
        <v>3</v>
      </c>
      <c r="V6" s="30" t="s">
        <v>849</v>
      </c>
      <c r="W6" s="30">
        <v>3</v>
      </c>
      <c r="X6" s="30" t="s">
        <v>911</v>
      </c>
      <c r="Y6" s="30">
        <f t="shared" si="0"/>
        <v>8</v>
      </c>
      <c r="Z6" s="30">
        <f t="shared" si="1"/>
        <v>6</v>
      </c>
      <c r="AA6" s="30">
        <f t="shared" si="2"/>
        <v>48</v>
      </c>
      <c r="AB6" s="30" t="s">
        <v>287</v>
      </c>
      <c r="AC6" s="30"/>
      <c r="AD6" s="30"/>
      <c r="AE6" s="30" t="s">
        <v>870</v>
      </c>
      <c r="AF6" s="30" t="s">
        <v>912</v>
      </c>
      <c r="AG6" s="30"/>
      <c r="AH6" s="30" t="s">
        <v>1446</v>
      </c>
      <c r="AI6" s="30">
        <v>1</v>
      </c>
      <c r="AJ6" s="30" t="s">
        <v>913</v>
      </c>
      <c r="AK6" s="30">
        <v>2</v>
      </c>
      <c r="AL6" s="30" t="s">
        <v>914</v>
      </c>
      <c r="AM6" s="30">
        <v>1</v>
      </c>
      <c r="AN6" s="30" t="s">
        <v>855</v>
      </c>
      <c r="AO6" s="30">
        <v>3</v>
      </c>
      <c r="AP6" s="30" t="s">
        <v>898</v>
      </c>
      <c r="AQ6" s="30">
        <v>1</v>
      </c>
      <c r="AR6" s="30" t="s">
        <v>915</v>
      </c>
      <c r="AS6" s="30">
        <f t="shared" si="3"/>
        <v>4</v>
      </c>
      <c r="AT6" s="30">
        <f t="shared" si="4"/>
        <v>4</v>
      </c>
      <c r="AU6" s="30">
        <f t="shared" si="5"/>
        <v>16</v>
      </c>
      <c r="AV6" s="30" t="s">
        <v>226</v>
      </c>
      <c r="AW6" s="30"/>
      <c r="AX6" s="30" t="s">
        <v>916</v>
      </c>
      <c r="AY6" s="102" t="s">
        <v>917</v>
      </c>
      <c r="AZ6" s="102" t="s">
        <v>918</v>
      </c>
      <c r="BA6" s="102" t="s">
        <v>919</v>
      </c>
    </row>
    <row r="7" spans="1:53" s="22" customFormat="1" ht="95.25" customHeight="1">
      <c r="A7" s="29" t="s">
        <v>880</v>
      </c>
      <c r="B7" s="30" t="s">
        <v>881</v>
      </c>
      <c r="C7" s="30" t="s">
        <v>840</v>
      </c>
      <c r="D7" s="30" t="s">
        <v>208</v>
      </c>
      <c r="E7" s="30" t="s">
        <v>208</v>
      </c>
      <c r="F7" s="30" t="s">
        <v>208</v>
      </c>
      <c r="G7" s="30" t="s">
        <v>208</v>
      </c>
      <c r="H7" s="30" t="s">
        <v>208</v>
      </c>
      <c r="I7" s="30" t="s">
        <v>208</v>
      </c>
      <c r="J7" s="30" t="s">
        <v>841</v>
      </c>
      <c r="K7" s="30" t="s">
        <v>920</v>
      </c>
      <c r="L7" s="30" t="s">
        <v>921</v>
      </c>
      <c r="M7" s="30" t="s">
        <v>922</v>
      </c>
      <c r="N7" s="30" t="s">
        <v>887</v>
      </c>
      <c r="O7" s="30">
        <v>3</v>
      </c>
      <c r="P7" s="30" t="s">
        <v>923</v>
      </c>
      <c r="Q7" s="30">
        <v>3</v>
      </c>
      <c r="R7" s="30" t="s">
        <v>924</v>
      </c>
      <c r="S7" s="30">
        <v>3</v>
      </c>
      <c r="T7" s="30" t="s">
        <v>925</v>
      </c>
      <c r="U7" s="30">
        <v>3</v>
      </c>
      <c r="V7" s="30" t="s">
        <v>849</v>
      </c>
      <c r="W7" s="30">
        <v>3</v>
      </c>
      <c r="X7" s="30" t="s">
        <v>926</v>
      </c>
      <c r="Y7" s="30">
        <f t="shared" si="0"/>
        <v>9</v>
      </c>
      <c r="Z7" s="30">
        <f t="shared" si="1"/>
        <v>6</v>
      </c>
      <c r="AA7" s="30">
        <f t="shared" si="2"/>
        <v>54</v>
      </c>
      <c r="AB7" s="30" t="s">
        <v>287</v>
      </c>
      <c r="AC7" s="30"/>
      <c r="AD7" s="30"/>
      <c r="AE7" s="30" t="s">
        <v>807</v>
      </c>
      <c r="AF7" s="30" t="s">
        <v>852</v>
      </c>
      <c r="AG7" s="30"/>
      <c r="AH7" s="30" t="s">
        <v>1447</v>
      </c>
      <c r="AI7" s="30">
        <v>1</v>
      </c>
      <c r="AJ7" s="30" t="s">
        <v>927</v>
      </c>
      <c r="AK7" s="30">
        <v>2</v>
      </c>
      <c r="AL7" s="30" t="s">
        <v>928</v>
      </c>
      <c r="AM7" s="30">
        <v>1</v>
      </c>
      <c r="AN7" s="30" t="s">
        <v>929</v>
      </c>
      <c r="AO7" s="30">
        <v>3</v>
      </c>
      <c r="AP7" s="30" t="s">
        <v>898</v>
      </c>
      <c r="AQ7" s="30">
        <v>1</v>
      </c>
      <c r="AR7" s="30" t="s">
        <v>930</v>
      </c>
      <c r="AS7" s="30">
        <f t="shared" si="3"/>
        <v>4</v>
      </c>
      <c r="AT7" s="30">
        <f t="shared" si="4"/>
        <v>4</v>
      </c>
      <c r="AU7" s="30">
        <f t="shared" si="5"/>
        <v>16</v>
      </c>
      <c r="AV7" s="30" t="s">
        <v>226</v>
      </c>
      <c r="AW7" s="30"/>
      <c r="AX7" s="30" t="s">
        <v>931</v>
      </c>
      <c r="AY7" s="102" t="s">
        <v>932</v>
      </c>
      <c r="AZ7" s="102" t="s">
        <v>918</v>
      </c>
      <c r="BA7" s="102" t="s">
        <v>919</v>
      </c>
    </row>
    <row r="8" spans="1:53" s="22" customFormat="1" ht="95.25" customHeight="1">
      <c r="A8" s="29" t="s">
        <v>933</v>
      </c>
      <c r="B8" s="30" t="s">
        <v>933</v>
      </c>
      <c r="C8" s="30" t="s">
        <v>840</v>
      </c>
      <c r="D8" s="30" t="s">
        <v>208</v>
      </c>
      <c r="E8" s="30" t="s">
        <v>208</v>
      </c>
      <c r="F8" s="30" t="s">
        <v>208</v>
      </c>
      <c r="G8" s="30" t="s">
        <v>208</v>
      </c>
      <c r="H8" s="30" t="s">
        <v>208</v>
      </c>
      <c r="I8" s="30" t="s">
        <v>208</v>
      </c>
      <c r="J8" s="30" t="s">
        <v>841</v>
      </c>
      <c r="K8" s="30" t="s">
        <v>934</v>
      </c>
      <c r="L8" s="30" t="s">
        <v>935</v>
      </c>
      <c r="M8" s="30" t="s">
        <v>936</v>
      </c>
      <c r="N8" s="30" t="s">
        <v>845</v>
      </c>
      <c r="O8" s="30">
        <v>3</v>
      </c>
      <c r="P8" s="30" t="s">
        <v>937</v>
      </c>
      <c r="Q8" s="30">
        <v>2</v>
      </c>
      <c r="R8" s="30" t="s">
        <v>938</v>
      </c>
      <c r="S8" s="30">
        <v>2</v>
      </c>
      <c r="T8" s="30" t="s">
        <v>939</v>
      </c>
      <c r="U8" s="30">
        <v>3</v>
      </c>
      <c r="V8" s="30" t="s">
        <v>849</v>
      </c>
      <c r="W8" s="30">
        <v>3</v>
      </c>
      <c r="X8" s="30" t="s">
        <v>940</v>
      </c>
      <c r="Y8" s="30">
        <f t="shared" si="0"/>
        <v>7</v>
      </c>
      <c r="Z8" s="30">
        <f t="shared" si="1"/>
        <v>6</v>
      </c>
      <c r="AA8" s="30">
        <f t="shared" si="2"/>
        <v>42</v>
      </c>
      <c r="AB8" s="30" t="s">
        <v>287</v>
      </c>
      <c r="AC8" s="30"/>
      <c r="AD8" s="30"/>
      <c r="AE8" s="30" t="s">
        <v>807</v>
      </c>
      <c r="AF8" s="30" t="s">
        <v>852</v>
      </c>
      <c r="AG8" s="30"/>
      <c r="AH8" s="30" t="s">
        <v>941</v>
      </c>
      <c r="AI8" s="30">
        <v>1</v>
      </c>
      <c r="AJ8" s="30" t="s">
        <v>942</v>
      </c>
      <c r="AK8" s="30">
        <v>1</v>
      </c>
      <c r="AL8" s="30" t="s">
        <v>943</v>
      </c>
      <c r="AM8" s="30">
        <v>1</v>
      </c>
      <c r="AN8" s="30" t="s">
        <v>944</v>
      </c>
      <c r="AO8" s="30">
        <v>2</v>
      </c>
      <c r="AP8" s="30" t="s">
        <v>945</v>
      </c>
      <c r="AQ8" s="30">
        <v>1</v>
      </c>
      <c r="AR8" s="30" t="s">
        <v>855</v>
      </c>
      <c r="AS8" s="30">
        <f t="shared" si="3"/>
        <v>3</v>
      </c>
      <c r="AT8" s="30">
        <f t="shared" si="4"/>
        <v>3</v>
      </c>
      <c r="AU8" s="30">
        <f t="shared" si="5"/>
        <v>9</v>
      </c>
      <c r="AV8" s="30" t="s">
        <v>226</v>
      </c>
      <c r="AW8" s="30"/>
      <c r="AX8" s="30" t="s">
        <v>946</v>
      </c>
      <c r="AY8" s="102" t="s">
        <v>947</v>
      </c>
      <c r="AZ8" s="102" t="s">
        <v>918</v>
      </c>
      <c r="BA8" s="102" t="s">
        <v>919</v>
      </c>
    </row>
    <row r="9" spans="1:53" s="22" customFormat="1" ht="95.25" customHeight="1">
      <c r="A9" s="29" t="s">
        <v>948</v>
      </c>
      <c r="B9" s="30" t="s">
        <v>948</v>
      </c>
      <c r="C9" s="30" t="s">
        <v>392</v>
      </c>
      <c r="D9" s="30"/>
      <c r="E9" s="30" t="s">
        <v>208</v>
      </c>
      <c r="F9" s="30" t="s">
        <v>208</v>
      </c>
      <c r="G9" s="30" t="s">
        <v>208</v>
      </c>
      <c r="H9" s="30"/>
      <c r="I9" s="30" t="s">
        <v>208</v>
      </c>
      <c r="J9" s="30" t="s">
        <v>949</v>
      </c>
      <c r="K9" s="30" t="s">
        <v>950</v>
      </c>
      <c r="L9" s="30" t="s">
        <v>951</v>
      </c>
      <c r="M9" s="30" t="s">
        <v>952</v>
      </c>
      <c r="N9" s="30" t="s">
        <v>845</v>
      </c>
      <c r="O9" s="30">
        <v>2</v>
      </c>
      <c r="P9" s="30" t="s">
        <v>953</v>
      </c>
      <c r="Q9" s="30">
        <v>3</v>
      </c>
      <c r="R9" s="30" t="s">
        <v>954</v>
      </c>
      <c r="S9" s="30">
        <v>3</v>
      </c>
      <c r="T9" s="30" t="s">
        <v>955</v>
      </c>
      <c r="U9" s="30">
        <v>3</v>
      </c>
      <c r="V9" s="30" t="s">
        <v>849</v>
      </c>
      <c r="W9" s="30">
        <v>3</v>
      </c>
      <c r="X9" s="30" t="s">
        <v>956</v>
      </c>
      <c r="Y9" s="30">
        <f t="shared" si="0"/>
        <v>9</v>
      </c>
      <c r="Z9" s="30">
        <f t="shared" si="1"/>
        <v>5</v>
      </c>
      <c r="AA9" s="30">
        <f t="shared" si="2"/>
        <v>45</v>
      </c>
      <c r="AB9" s="30" t="s">
        <v>287</v>
      </c>
      <c r="AC9" s="30"/>
      <c r="AD9" s="30"/>
      <c r="AE9" s="30" t="s">
        <v>807</v>
      </c>
      <c r="AF9" s="30" t="s">
        <v>957</v>
      </c>
      <c r="AG9" s="30"/>
      <c r="AH9" s="30" t="s">
        <v>958</v>
      </c>
      <c r="AI9" s="30">
        <v>1</v>
      </c>
      <c r="AJ9" s="30" t="s">
        <v>959</v>
      </c>
      <c r="AK9" s="30">
        <v>2</v>
      </c>
      <c r="AL9" s="30" t="s">
        <v>960</v>
      </c>
      <c r="AM9" s="30">
        <v>2</v>
      </c>
      <c r="AN9" s="30" t="s">
        <v>961</v>
      </c>
      <c r="AO9" s="30">
        <v>2</v>
      </c>
      <c r="AP9" s="30" t="s">
        <v>945</v>
      </c>
      <c r="AQ9" s="30">
        <v>1</v>
      </c>
      <c r="AR9" s="30" t="s">
        <v>962</v>
      </c>
      <c r="AS9" s="30">
        <f t="shared" si="3"/>
        <v>5</v>
      </c>
      <c r="AT9" s="30">
        <f t="shared" si="4"/>
        <v>3</v>
      </c>
      <c r="AU9" s="30">
        <f t="shared" si="5"/>
        <v>15</v>
      </c>
      <c r="AV9" s="30" t="s">
        <v>226</v>
      </c>
      <c r="AW9" s="30"/>
      <c r="AX9" s="30" t="s">
        <v>963</v>
      </c>
      <c r="AY9" s="102" t="s">
        <v>964</v>
      </c>
      <c r="AZ9" s="22" t="s">
        <v>965</v>
      </c>
      <c r="BA9" s="22" t="s">
        <v>966</v>
      </c>
    </row>
    <row r="10" spans="1:53" s="22" customFormat="1" ht="95.25" customHeight="1">
      <c r="A10" s="29" t="s">
        <v>967</v>
      </c>
      <c r="B10" s="30" t="s">
        <v>968</v>
      </c>
      <c r="C10" s="30" t="s">
        <v>840</v>
      </c>
      <c r="D10" s="30" t="s">
        <v>208</v>
      </c>
      <c r="E10" s="30" t="s">
        <v>208</v>
      </c>
      <c r="F10" s="30" t="s">
        <v>208</v>
      </c>
      <c r="G10" s="30" t="s">
        <v>208</v>
      </c>
      <c r="H10" s="30" t="s">
        <v>208</v>
      </c>
      <c r="I10" s="30" t="s">
        <v>208</v>
      </c>
      <c r="J10" s="30" t="s">
        <v>841</v>
      </c>
      <c r="K10" s="30" t="s">
        <v>969</v>
      </c>
      <c r="L10" s="30" t="s">
        <v>970</v>
      </c>
      <c r="M10" s="30" t="s">
        <v>971</v>
      </c>
      <c r="N10" s="30" t="s">
        <v>749</v>
      </c>
      <c r="O10" s="30">
        <v>3</v>
      </c>
      <c r="P10" s="30" t="s">
        <v>972</v>
      </c>
      <c r="Q10" s="30">
        <v>2</v>
      </c>
      <c r="R10" s="30" t="s">
        <v>973</v>
      </c>
      <c r="S10" s="30">
        <v>2</v>
      </c>
      <c r="T10" s="30" t="s">
        <v>974</v>
      </c>
      <c r="U10" s="30">
        <v>2</v>
      </c>
      <c r="V10" s="30" t="s">
        <v>856</v>
      </c>
      <c r="W10" s="30">
        <v>3</v>
      </c>
      <c r="X10" s="30" t="s">
        <v>975</v>
      </c>
      <c r="Y10" s="30">
        <f t="shared" si="0"/>
        <v>7</v>
      </c>
      <c r="Z10" s="30">
        <f t="shared" si="1"/>
        <v>5</v>
      </c>
      <c r="AA10" s="30">
        <f t="shared" si="2"/>
        <v>35</v>
      </c>
      <c r="AB10" s="30" t="s">
        <v>287</v>
      </c>
      <c r="AC10" s="30"/>
      <c r="AD10" s="30"/>
      <c r="AE10" s="30" t="s">
        <v>818</v>
      </c>
      <c r="AF10" s="30" t="s">
        <v>852</v>
      </c>
      <c r="AG10" s="30"/>
      <c r="AH10" s="30" t="s">
        <v>1455</v>
      </c>
      <c r="AI10" s="30">
        <v>1</v>
      </c>
      <c r="AJ10" s="30" t="s">
        <v>976</v>
      </c>
      <c r="AK10" s="30">
        <v>2</v>
      </c>
      <c r="AL10" s="30" t="s">
        <v>973</v>
      </c>
      <c r="AM10" s="30">
        <v>1</v>
      </c>
      <c r="AN10" s="30" t="s">
        <v>855</v>
      </c>
      <c r="AO10" s="30">
        <v>2</v>
      </c>
      <c r="AP10" s="30" t="s">
        <v>856</v>
      </c>
      <c r="AQ10" s="30">
        <v>1</v>
      </c>
      <c r="AR10" s="30" t="s">
        <v>857</v>
      </c>
      <c r="AS10" s="30">
        <f t="shared" si="3"/>
        <v>4</v>
      </c>
      <c r="AT10" s="30">
        <f t="shared" si="4"/>
        <v>3</v>
      </c>
      <c r="AU10" s="30">
        <f t="shared" si="5"/>
        <v>12</v>
      </c>
      <c r="AV10" s="30" t="s">
        <v>226</v>
      </c>
      <c r="AW10" s="30"/>
      <c r="AX10" s="30" t="s">
        <v>977</v>
      </c>
      <c r="AY10" s="102" t="s">
        <v>978</v>
      </c>
      <c r="AZ10" s="102" t="s">
        <v>979</v>
      </c>
      <c r="BA10" s="102" t="s">
        <v>980</v>
      </c>
    </row>
    <row r="11" spans="1:53" s="22" customFormat="1" ht="95.25" customHeight="1">
      <c r="A11" s="29" t="s">
        <v>967</v>
      </c>
      <c r="B11" s="30" t="s">
        <v>968</v>
      </c>
      <c r="C11" s="30" t="s">
        <v>840</v>
      </c>
      <c r="D11" s="30" t="s">
        <v>208</v>
      </c>
      <c r="E11" s="30" t="s">
        <v>208</v>
      </c>
      <c r="F11" s="30" t="s">
        <v>208</v>
      </c>
      <c r="G11" s="30" t="s">
        <v>208</v>
      </c>
      <c r="H11" s="30" t="s">
        <v>208</v>
      </c>
      <c r="I11" s="30" t="s">
        <v>208</v>
      </c>
      <c r="J11" s="30" t="s">
        <v>841</v>
      </c>
      <c r="K11" s="30" t="s">
        <v>981</v>
      </c>
      <c r="L11" s="30" t="s">
        <v>982</v>
      </c>
      <c r="M11" s="30" t="s">
        <v>983</v>
      </c>
      <c r="N11" s="30" t="s">
        <v>887</v>
      </c>
      <c r="O11" s="30">
        <v>3</v>
      </c>
      <c r="P11" s="30" t="s">
        <v>984</v>
      </c>
      <c r="Q11" s="30">
        <v>3</v>
      </c>
      <c r="R11" s="30" t="s">
        <v>985</v>
      </c>
      <c r="S11" s="30">
        <v>2</v>
      </c>
      <c r="T11" s="30" t="s">
        <v>974</v>
      </c>
      <c r="U11" s="30">
        <v>2</v>
      </c>
      <c r="V11" s="30" t="s">
        <v>856</v>
      </c>
      <c r="W11" s="30">
        <v>3</v>
      </c>
      <c r="X11" s="30" t="s">
        <v>986</v>
      </c>
      <c r="Y11" s="30">
        <f t="shared" si="0"/>
        <v>8</v>
      </c>
      <c r="Z11" s="30">
        <f t="shared" si="1"/>
        <v>5</v>
      </c>
      <c r="AA11" s="30">
        <f t="shared" si="2"/>
        <v>40</v>
      </c>
      <c r="AB11" s="30" t="s">
        <v>287</v>
      </c>
      <c r="AC11" s="30"/>
      <c r="AD11" s="30"/>
      <c r="AE11" s="30" t="s">
        <v>870</v>
      </c>
      <c r="AF11" s="30" t="s">
        <v>852</v>
      </c>
      <c r="AG11" s="30"/>
      <c r="AH11" s="30" t="s">
        <v>1448</v>
      </c>
      <c r="AI11" s="30">
        <v>1</v>
      </c>
      <c r="AJ11" s="30" t="s">
        <v>987</v>
      </c>
      <c r="AK11" s="30">
        <v>2</v>
      </c>
      <c r="AL11" s="30" t="s">
        <v>973</v>
      </c>
      <c r="AM11" s="30">
        <v>1</v>
      </c>
      <c r="AN11" s="30" t="s">
        <v>855</v>
      </c>
      <c r="AO11" s="30">
        <v>2</v>
      </c>
      <c r="AP11" s="30" t="s">
        <v>856</v>
      </c>
      <c r="AQ11" s="30">
        <v>1</v>
      </c>
      <c r="AR11" s="30" t="s">
        <v>857</v>
      </c>
      <c r="AS11" s="30">
        <f t="shared" si="3"/>
        <v>4</v>
      </c>
      <c r="AT11" s="30">
        <f t="shared" si="4"/>
        <v>3</v>
      </c>
      <c r="AU11" s="30">
        <f t="shared" si="5"/>
        <v>12</v>
      </c>
      <c r="AV11" s="30" t="s">
        <v>226</v>
      </c>
      <c r="AW11" s="30"/>
      <c r="AX11" s="30" t="s">
        <v>988</v>
      </c>
      <c r="AY11" s="102" t="s">
        <v>989</v>
      </c>
      <c r="AZ11" s="102" t="s">
        <v>990</v>
      </c>
      <c r="BA11" s="102" t="s">
        <v>991</v>
      </c>
    </row>
    <row r="12" spans="1:53" s="22" customFormat="1" ht="95.25" customHeight="1">
      <c r="A12" s="29" t="s">
        <v>968</v>
      </c>
      <c r="B12" s="30" t="s">
        <v>968</v>
      </c>
      <c r="C12" s="30" t="s">
        <v>840</v>
      </c>
      <c r="D12" s="30" t="s">
        <v>208</v>
      </c>
      <c r="E12" s="30" t="s">
        <v>208</v>
      </c>
      <c r="F12" s="30" t="s">
        <v>208</v>
      </c>
      <c r="G12" s="30" t="s">
        <v>208</v>
      </c>
      <c r="H12" s="30" t="s">
        <v>208</v>
      </c>
      <c r="I12" s="30" t="s">
        <v>208</v>
      </c>
      <c r="J12" s="30" t="s">
        <v>841</v>
      </c>
      <c r="K12" s="30" t="s">
        <v>992</v>
      </c>
      <c r="L12" s="30" t="s">
        <v>982</v>
      </c>
      <c r="M12" s="30" t="s">
        <v>993</v>
      </c>
      <c r="N12" s="30" t="s">
        <v>887</v>
      </c>
      <c r="O12" s="30">
        <v>3</v>
      </c>
      <c r="P12" s="30" t="s">
        <v>994</v>
      </c>
      <c r="Q12" s="30">
        <v>3</v>
      </c>
      <c r="R12" s="30" t="s">
        <v>985</v>
      </c>
      <c r="S12" s="30">
        <v>3</v>
      </c>
      <c r="T12" s="30" t="s">
        <v>995</v>
      </c>
      <c r="U12" s="30">
        <v>3</v>
      </c>
      <c r="V12" s="30" t="s">
        <v>849</v>
      </c>
      <c r="W12" s="30">
        <v>3</v>
      </c>
      <c r="X12" s="30" t="s">
        <v>996</v>
      </c>
      <c r="Y12" s="30">
        <f t="shared" si="0"/>
        <v>9</v>
      </c>
      <c r="Z12" s="30">
        <f t="shared" si="1"/>
        <v>6</v>
      </c>
      <c r="AA12" s="30">
        <f t="shared" si="2"/>
        <v>54</v>
      </c>
      <c r="AB12" s="30" t="s">
        <v>287</v>
      </c>
      <c r="AC12" s="30" t="s">
        <v>997</v>
      </c>
      <c r="AD12" s="30"/>
      <c r="AE12" s="30" t="s">
        <v>807</v>
      </c>
      <c r="AF12" s="30" t="s">
        <v>852</v>
      </c>
      <c r="AG12" s="30"/>
      <c r="AH12" s="30" t="s">
        <v>998</v>
      </c>
      <c r="AI12" s="30">
        <v>1</v>
      </c>
      <c r="AJ12" s="30" t="s">
        <v>999</v>
      </c>
      <c r="AK12" s="30">
        <v>1</v>
      </c>
      <c r="AL12" s="30" t="s">
        <v>999</v>
      </c>
      <c r="AM12" s="30">
        <v>1</v>
      </c>
      <c r="AN12" s="30" t="s">
        <v>999</v>
      </c>
      <c r="AO12" s="30">
        <v>1</v>
      </c>
      <c r="AP12" s="30" t="s">
        <v>999</v>
      </c>
      <c r="AQ12" s="30">
        <v>1</v>
      </c>
      <c r="AR12" s="30" t="s">
        <v>999</v>
      </c>
      <c r="AS12" s="30">
        <f t="shared" si="3"/>
        <v>3</v>
      </c>
      <c r="AT12" s="30">
        <f t="shared" si="4"/>
        <v>2</v>
      </c>
      <c r="AU12" s="30">
        <f t="shared" si="5"/>
        <v>6</v>
      </c>
      <c r="AV12" s="30" t="s">
        <v>226</v>
      </c>
      <c r="AW12" s="30"/>
      <c r="AX12" s="30" t="s">
        <v>1000</v>
      </c>
      <c r="AY12" s="102" t="s">
        <v>1001</v>
      </c>
      <c r="AZ12" s="102" t="s">
        <v>1002</v>
      </c>
      <c r="BA12" s="102" t="s">
        <v>1003</v>
      </c>
    </row>
    <row r="13" spans="1:53" s="22" customFormat="1" ht="95.25" customHeight="1">
      <c r="A13" s="29" t="s">
        <v>968</v>
      </c>
      <c r="B13" s="30" t="s">
        <v>968</v>
      </c>
      <c r="C13" s="30" t="s">
        <v>1004</v>
      </c>
      <c r="D13" s="30" t="s">
        <v>208</v>
      </c>
      <c r="E13" s="30" t="s">
        <v>208</v>
      </c>
      <c r="F13" s="30" t="s">
        <v>208</v>
      </c>
      <c r="G13" s="30" t="s">
        <v>208</v>
      </c>
      <c r="H13" s="30" t="s">
        <v>208</v>
      </c>
      <c r="I13" s="30" t="s">
        <v>208</v>
      </c>
      <c r="J13" s="30" t="s">
        <v>841</v>
      </c>
      <c r="K13" s="30" t="s">
        <v>1005</v>
      </c>
      <c r="L13" s="30" t="s">
        <v>982</v>
      </c>
      <c r="M13" s="30" t="s">
        <v>1006</v>
      </c>
      <c r="N13" s="30" t="s">
        <v>887</v>
      </c>
      <c r="O13" s="30">
        <v>3</v>
      </c>
      <c r="P13" s="30" t="s">
        <v>994</v>
      </c>
      <c r="Q13" s="30">
        <v>3</v>
      </c>
      <c r="R13" s="30" t="s">
        <v>985</v>
      </c>
      <c r="S13" s="30">
        <v>3</v>
      </c>
      <c r="T13" s="30" t="s">
        <v>995</v>
      </c>
      <c r="U13" s="30">
        <v>3</v>
      </c>
      <c r="V13" s="30" t="s">
        <v>849</v>
      </c>
      <c r="W13" s="30">
        <v>3</v>
      </c>
      <c r="X13" s="30" t="s">
        <v>996</v>
      </c>
      <c r="Y13" s="30">
        <f t="shared" si="0"/>
        <v>9</v>
      </c>
      <c r="Z13" s="30">
        <f t="shared" si="1"/>
        <v>6</v>
      </c>
      <c r="AA13" s="30">
        <f t="shared" si="2"/>
        <v>54</v>
      </c>
      <c r="AB13" s="30" t="s">
        <v>287</v>
      </c>
      <c r="AC13" s="30" t="s">
        <v>1007</v>
      </c>
      <c r="AD13" s="30"/>
      <c r="AE13" s="30" t="s">
        <v>807</v>
      </c>
      <c r="AF13" s="30" t="s">
        <v>852</v>
      </c>
      <c r="AG13" s="30"/>
      <c r="AH13" s="30" t="s">
        <v>998</v>
      </c>
      <c r="AI13" s="30">
        <v>1</v>
      </c>
      <c r="AJ13" s="30" t="s">
        <v>999</v>
      </c>
      <c r="AK13" s="30">
        <v>1</v>
      </c>
      <c r="AL13" s="30" t="s">
        <v>999</v>
      </c>
      <c r="AM13" s="30">
        <v>1</v>
      </c>
      <c r="AN13" s="30" t="s">
        <v>999</v>
      </c>
      <c r="AO13" s="30">
        <v>1</v>
      </c>
      <c r="AP13" s="30" t="s">
        <v>999</v>
      </c>
      <c r="AQ13" s="30">
        <v>1</v>
      </c>
      <c r="AR13" s="30" t="s">
        <v>999</v>
      </c>
      <c r="AS13" s="30">
        <f t="shared" si="3"/>
        <v>3</v>
      </c>
      <c r="AT13" s="30">
        <f t="shared" si="4"/>
        <v>2</v>
      </c>
      <c r="AU13" s="30">
        <f t="shared" si="5"/>
        <v>6</v>
      </c>
      <c r="AV13" s="30" t="s">
        <v>226</v>
      </c>
      <c r="AW13" s="30"/>
      <c r="AX13" s="30" t="s">
        <v>1008</v>
      </c>
      <c r="AY13" s="102" t="s">
        <v>1009</v>
      </c>
      <c r="AZ13" s="102" t="s">
        <v>1010</v>
      </c>
      <c r="BA13" s="102" t="s">
        <v>1011</v>
      </c>
    </row>
    <row r="14" spans="1:53" s="22" customFormat="1" ht="95.25" customHeight="1">
      <c r="A14" s="29" t="s">
        <v>1012</v>
      </c>
      <c r="B14" s="30" t="s">
        <v>1012</v>
      </c>
      <c r="C14" s="30" t="s">
        <v>840</v>
      </c>
      <c r="D14" s="30"/>
      <c r="E14" s="30" t="s">
        <v>208</v>
      </c>
      <c r="F14" s="30" t="s">
        <v>208</v>
      </c>
      <c r="G14" s="30"/>
      <c r="H14" s="30"/>
      <c r="I14" s="30" t="s">
        <v>208</v>
      </c>
      <c r="J14" s="30" t="s">
        <v>799</v>
      </c>
      <c r="K14" s="30" t="s">
        <v>1013</v>
      </c>
      <c r="L14" s="30" t="s">
        <v>1014</v>
      </c>
      <c r="M14" s="30" t="s">
        <v>1015</v>
      </c>
      <c r="N14" s="30" t="s">
        <v>749</v>
      </c>
      <c r="O14" s="30">
        <v>3</v>
      </c>
      <c r="P14" s="30" t="s">
        <v>1016</v>
      </c>
      <c r="Q14" s="30">
        <v>2</v>
      </c>
      <c r="R14" s="30" t="s">
        <v>1017</v>
      </c>
      <c r="S14" s="30">
        <v>1</v>
      </c>
      <c r="T14" s="30" t="s">
        <v>1018</v>
      </c>
      <c r="U14" s="30">
        <v>2</v>
      </c>
      <c r="V14" s="30" t="s">
        <v>1019</v>
      </c>
      <c r="W14" s="30">
        <v>1</v>
      </c>
      <c r="X14" s="30" t="s">
        <v>1020</v>
      </c>
      <c r="Y14" s="30">
        <f>Q14+S14+W14</f>
        <v>4</v>
      </c>
      <c r="Z14" s="30">
        <f>O14+U14</f>
        <v>5</v>
      </c>
      <c r="AA14" s="30">
        <f>Y14*Z14</f>
        <v>20</v>
      </c>
      <c r="AB14" s="30" t="s">
        <v>218</v>
      </c>
      <c r="AC14" s="30"/>
      <c r="AD14" s="30"/>
      <c r="AE14" s="30" t="s">
        <v>818</v>
      </c>
      <c r="AF14" s="30" t="s">
        <v>1021</v>
      </c>
      <c r="AG14" s="30"/>
      <c r="AH14" s="30" t="s">
        <v>1022</v>
      </c>
      <c r="AI14" s="30">
        <v>3</v>
      </c>
      <c r="AJ14" s="30" t="s">
        <v>1023</v>
      </c>
      <c r="AK14" s="30">
        <v>1</v>
      </c>
      <c r="AL14" s="30" t="s">
        <v>1024</v>
      </c>
      <c r="AM14" s="30">
        <v>1</v>
      </c>
      <c r="AN14" s="30" t="s">
        <v>1025</v>
      </c>
      <c r="AO14" s="30">
        <v>2</v>
      </c>
      <c r="AP14" s="30" t="s">
        <v>1026</v>
      </c>
      <c r="AQ14" s="30">
        <v>1</v>
      </c>
      <c r="AR14" s="30" t="s">
        <v>1027</v>
      </c>
      <c r="AS14" s="30">
        <f>AK14+AM14+AQ14</f>
        <v>3</v>
      </c>
      <c r="AT14" s="30">
        <f>AI14+AO14</f>
        <v>5</v>
      </c>
      <c r="AU14" s="30">
        <f>AS14*AT14</f>
        <v>15</v>
      </c>
      <c r="AV14" s="30" t="s">
        <v>226</v>
      </c>
      <c r="AW14" s="30"/>
      <c r="AX14" s="30" t="s">
        <v>1028</v>
      </c>
      <c r="AY14" s="102" t="s">
        <v>1029</v>
      </c>
      <c r="AZ14" s="102" t="s">
        <v>1030</v>
      </c>
      <c r="BA14" s="102" t="s">
        <v>1031</v>
      </c>
    </row>
    <row r="15" spans="1:53" s="22" customFormat="1" ht="95.25" customHeight="1">
      <c r="A15" s="29" t="s">
        <v>1012</v>
      </c>
      <c r="B15" s="30" t="s">
        <v>1012</v>
      </c>
      <c r="C15" s="30" t="s">
        <v>840</v>
      </c>
      <c r="D15" s="30" t="s">
        <v>208</v>
      </c>
      <c r="E15" s="30" t="s">
        <v>208</v>
      </c>
      <c r="F15" s="30" t="s">
        <v>208</v>
      </c>
      <c r="G15" s="30"/>
      <c r="H15" s="30"/>
      <c r="I15" s="30"/>
      <c r="J15" s="30" t="s">
        <v>1032</v>
      </c>
      <c r="K15" s="30" t="s">
        <v>1033</v>
      </c>
      <c r="L15" s="30" t="s">
        <v>1034</v>
      </c>
      <c r="M15" s="30" t="s">
        <v>1035</v>
      </c>
      <c r="N15" s="30" t="s">
        <v>887</v>
      </c>
      <c r="O15" s="30" t="s">
        <v>1036</v>
      </c>
      <c r="P15" s="30" t="s">
        <v>1037</v>
      </c>
      <c r="Q15" s="30" t="s">
        <v>1036</v>
      </c>
      <c r="R15" s="30" t="s">
        <v>1037</v>
      </c>
      <c r="S15" s="30" t="s">
        <v>1036</v>
      </c>
      <c r="T15" s="30" t="s">
        <v>1037</v>
      </c>
      <c r="U15" s="30" t="s">
        <v>1036</v>
      </c>
      <c r="V15" s="30" t="s">
        <v>1037</v>
      </c>
      <c r="W15" s="30" t="s">
        <v>1036</v>
      </c>
      <c r="X15" s="30" t="s">
        <v>1037</v>
      </c>
      <c r="Y15" s="30"/>
      <c r="Z15" s="30"/>
      <c r="AA15" s="30"/>
      <c r="AB15" s="30"/>
      <c r="AC15" s="30" t="s">
        <v>235</v>
      </c>
      <c r="AD15" s="30" t="s">
        <v>1038</v>
      </c>
      <c r="AE15" s="30"/>
      <c r="AF15" s="30"/>
      <c r="AG15" s="30"/>
      <c r="AH15" s="30"/>
      <c r="AI15" s="30"/>
      <c r="AJ15" s="30"/>
      <c r="AK15" s="30"/>
      <c r="AL15" s="30"/>
      <c r="AM15" s="30"/>
      <c r="AN15" s="30"/>
      <c r="AO15" s="30"/>
      <c r="AP15" s="30"/>
      <c r="AQ15" s="30"/>
      <c r="AR15" s="30"/>
      <c r="AS15" s="30"/>
      <c r="AT15" s="30"/>
      <c r="AU15" s="30"/>
      <c r="AV15" s="30"/>
      <c r="AW15" s="30"/>
      <c r="AX15" s="30" t="s">
        <v>1039</v>
      </c>
      <c r="AY15" s="102" t="s">
        <v>1040</v>
      </c>
      <c r="AZ15" s="102" t="s">
        <v>1041</v>
      </c>
      <c r="BA15" s="102" t="s">
        <v>1042</v>
      </c>
    </row>
    <row r="16" spans="1:53" s="22" customFormat="1" ht="95.25" customHeight="1">
      <c r="A16" s="29" t="s">
        <v>1043</v>
      </c>
      <c r="B16" s="30" t="s">
        <v>1044</v>
      </c>
      <c r="C16" s="30" t="s">
        <v>1045</v>
      </c>
      <c r="D16" s="30" t="s">
        <v>208</v>
      </c>
      <c r="E16" s="30" t="s">
        <v>208</v>
      </c>
      <c r="F16" s="30"/>
      <c r="G16" s="30" t="s">
        <v>208</v>
      </c>
      <c r="H16" s="30" t="s">
        <v>208</v>
      </c>
      <c r="I16" s="30"/>
      <c r="J16" s="30" t="s">
        <v>1046</v>
      </c>
      <c r="K16" s="30" t="s">
        <v>1047</v>
      </c>
      <c r="L16" s="30" t="s">
        <v>1048</v>
      </c>
      <c r="M16" s="30" t="s">
        <v>1049</v>
      </c>
      <c r="N16" s="30" t="s">
        <v>845</v>
      </c>
      <c r="O16" s="30">
        <v>3</v>
      </c>
      <c r="P16" s="30" t="s">
        <v>1050</v>
      </c>
      <c r="Q16" s="30">
        <v>2</v>
      </c>
      <c r="R16" s="30" t="s">
        <v>1017</v>
      </c>
      <c r="S16" s="30">
        <v>1</v>
      </c>
      <c r="T16" s="30" t="s">
        <v>1051</v>
      </c>
      <c r="U16" s="30">
        <v>3</v>
      </c>
      <c r="V16" s="30" t="s">
        <v>1052</v>
      </c>
      <c r="W16" s="30">
        <v>1</v>
      </c>
      <c r="X16" s="30" t="s">
        <v>1020</v>
      </c>
      <c r="Y16" s="30">
        <f t="shared" ref="Y16:Y23" si="6">Q16+S16+W16</f>
        <v>4</v>
      </c>
      <c r="Z16" s="30">
        <f t="shared" ref="Z16:Z23" si="7">O16+U16</f>
        <v>6</v>
      </c>
      <c r="AA16" s="30">
        <f t="shared" ref="AA16:AA23" si="8">Y16*Z16</f>
        <v>24</v>
      </c>
      <c r="AB16" s="30" t="s">
        <v>218</v>
      </c>
      <c r="AC16" s="30"/>
      <c r="AD16" s="30"/>
      <c r="AE16" s="30" t="s">
        <v>870</v>
      </c>
      <c r="AF16" s="30" t="s">
        <v>1053</v>
      </c>
      <c r="AG16" s="30"/>
      <c r="AH16" s="30" t="s">
        <v>1449</v>
      </c>
      <c r="AI16" s="30">
        <v>3</v>
      </c>
      <c r="AJ16" s="30" t="s">
        <v>1054</v>
      </c>
      <c r="AK16" s="30">
        <v>1</v>
      </c>
      <c r="AL16" s="30" t="s">
        <v>1055</v>
      </c>
      <c r="AM16" s="30">
        <v>1</v>
      </c>
      <c r="AN16" s="30" t="s">
        <v>1056</v>
      </c>
      <c r="AO16" s="30">
        <v>1</v>
      </c>
      <c r="AP16" s="30" t="s">
        <v>1057</v>
      </c>
      <c r="AQ16" s="30">
        <v>1</v>
      </c>
      <c r="AR16" s="30" t="s">
        <v>1058</v>
      </c>
      <c r="AS16" s="30">
        <f>AK16+AM16+AQ16</f>
        <v>3</v>
      </c>
      <c r="AT16" s="30">
        <f>AI16+AO16</f>
        <v>4</v>
      </c>
      <c r="AU16" s="30">
        <f>AS16*AT16</f>
        <v>12</v>
      </c>
      <c r="AV16" s="30" t="s">
        <v>226</v>
      </c>
      <c r="AW16" s="30"/>
      <c r="AX16" s="30" t="s">
        <v>1059</v>
      </c>
      <c r="AY16" s="102" t="s">
        <v>1060</v>
      </c>
      <c r="AZ16" s="102" t="s">
        <v>1002</v>
      </c>
      <c r="BA16" s="102" t="s">
        <v>1003</v>
      </c>
    </row>
    <row r="17" spans="1:53" s="22" customFormat="1" ht="95.25" customHeight="1">
      <c r="A17" s="29" t="s">
        <v>1061</v>
      </c>
      <c r="B17" s="30" t="s">
        <v>881</v>
      </c>
      <c r="C17" s="30" t="s">
        <v>882</v>
      </c>
      <c r="D17" s="30"/>
      <c r="E17" s="30"/>
      <c r="F17" s="30" t="s">
        <v>208</v>
      </c>
      <c r="G17" s="30"/>
      <c r="H17" s="30"/>
      <c r="I17" s="30"/>
      <c r="J17" s="30" t="s">
        <v>575</v>
      </c>
      <c r="K17" s="30" t="s">
        <v>1062</v>
      </c>
      <c r="L17" s="30" t="s">
        <v>1063</v>
      </c>
      <c r="M17" s="30" t="s">
        <v>1064</v>
      </c>
      <c r="N17" s="30" t="s">
        <v>845</v>
      </c>
      <c r="O17" s="30">
        <v>2</v>
      </c>
      <c r="P17" s="30" t="s">
        <v>1065</v>
      </c>
      <c r="Q17" s="30">
        <v>2</v>
      </c>
      <c r="R17" s="30" t="s">
        <v>1066</v>
      </c>
      <c r="S17" s="30">
        <v>1</v>
      </c>
      <c r="T17" s="30" t="s">
        <v>1067</v>
      </c>
      <c r="U17" s="30">
        <v>3</v>
      </c>
      <c r="V17" s="30" t="s">
        <v>1068</v>
      </c>
      <c r="W17" s="30">
        <v>1</v>
      </c>
      <c r="X17" s="30" t="s">
        <v>1069</v>
      </c>
      <c r="Y17" s="30">
        <f t="shared" si="6"/>
        <v>4</v>
      </c>
      <c r="Z17" s="30">
        <f t="shared" si="7"/>
        <v>5</v>
      </c>
      <c r="AA17" s="30">
        <f t="shared" si="8"/>
        <v>20</v>
      </c>
      <c r="AB17" s="30" t="s">
        <v>218</v>
      </c>
      <c r="AC17" s="30"/>
      <c r="AD17" s="30"/>
      <c r="AE17" s="30" t="s">
        <v>870</v>
      </c>
      <c r="AF17" s="30" t="s">
        <v>1070</v>
      </c>
      <c r="AG17" s="30"/>
      <c r="AH17" s="30" t="s">
        <v>1071</v>
      </c>
      <c r="AI17" s="30">
        <v>1</v>
      </c>
      <c r="AJ17" s="30" t="s">
        <v>1072</v>
      </c>
      <c r="AK17" s="30">
        <v>2</v>
      </c>
      <c r="AL17" s="30" t="s">
        <v>1073</v>
      </c>
      <c r="AM17" s="30">
        <v>1</v>
      </c>
      <c r="AN17" s="30" t="s">
        <v>1074</v>
      </c>
      <c r="AO17" s="30">
        <v>2</v>
      </c>
      <c r="AP17" s="30" t="s">
        <v>1075</v>
      </c>
      <c r="AQ17" s="30">
        <v>1</v>
      </c>
      <c r="AR17" s="30" t="s">
        <v>1076</v>
      </c>
      <c r="AS17" s="30">
        <f>AK17+AM17+AQ17</f>
        <v>4</v>
      </c>
      <c r="AT17" s="30">
        <f>AI17+AO17</f>
        <v>3</v>
      </c>
      <c r="AU17" s="30">
        <f>AS17*AT17</f>
        <v>12</v>
      </c>
      <c r="AV17" s="30" t="s">
        <v>226</v>
      </c>
      <c r="AW17" s="30"/>
      <c r="AX17" s="30" t="s">
        <v>1077</v>
      </c>
      <c r="AY17" s="102" t="s">
        <v>1078</v>
      </c>
      <c r="AZ17" s="102" t="s">
        <v>1079</v>
      </c>
      <c r="BA17" s="102" t="s">
        <v>1080</v>
      </c>
    </row>
    <row r="18" spans="1:53" s="22" customFormat="1" ht="95.25" customHeight="1">
      <c r="A18" s="29" t="s">
        <v>1012</v>
      </c>
      <c r="B18" s="30" t="s">
        <v>1081</v>
      </c>
      <c r="C18" s="30" t="s">
        <v>1082</v>
      </c>
      <c r="D18" s="30" t="s">
        <v>208</v>
      </c>
      <c r="E18" s="30"/>
      <c r="F18" s="30"/>
      <c r="G18" s="30"/>
      <c r="H18" s="30"/>
      <c r="I18" s="30"/>
      <c r="J18" s="30" t="s">
        <v>425</v>
      </c>
      <c r="K18" s="30" t="s">
        <v>1083</v>
      </c>
      <c r="L18" s="30" t="s">
        <v>1084</v>
      </c>
      <c r="M18" s="30" t="s">
        <v>1085</v>
      </c>
      <c r="N18" s="30" t="s">
        <v>845</v>
      </c>
      <c r="O18" s="30">
        <v>1</v>
      </c>
      <c r="P18" s="30" t="s">
        <v>1086</v>
      </c>
      <c r="Q18" s="30">
        <v>2</v>
      </c>
      <c r="R18" s="30" t="s">
        <v>1066</v>
      </c>
      <c r="S18" s="30">
        <v>1</v>
      </c>
      <c r="T18" s="30" t="s">
        <v>1067</v>
      </c>
      <c r="U18" s="30">
        <v>2</v>
      </c>
      <c r="V18" s="30" t="s">
        <v>1087</v>
      </c>
      <c r="W18" s="30">
        <v>1</v>
      </c>
      <c r="X18" s="30" t="s">
        <v>1088</v>
      </c>
      <c r="Y18" s="30">
        <f t="shared" si="6"/>
        <v>4</v>
      </c>
      <c r="Z18" s="30">
        <f t="shared" si="7"/>
        <v>3</v>
      </c>
      <c r="AA18" s="30">
        <f t="shared" si="8"/>
        <v>12</v>
      </c>
      <c r="AB18" s="30" t="s">
        <v>226</v>
      </c>
      <c r="AC18" s="30" t="s">
        <v>235</v>
      </c>
      <c r="AD18" s="30" t="s">
        <v>1089</v>
      </c>
      <c r="AE18" s="30" t="s">
        <v>870</v>
      </c>
      <c r="AF18" s="30" t="s">
        <v>1090</v>
      </c>
      <c r="AG18" s="30"/>
      <c r="AH18" s="30" t="s">
        <v>1091</v>
      </c>
      <c r="AI18" s="30"/>
      <c r="AJ18" s="30"/>
      <c r="AK18" s="30"/>
      <c r="AL18" s="30"/>
      <c r="AM18" s="30"/>
      <c r="AN18" s="30"/>
      <c r="AO18" s="30"/>
      <c r="AP18" s="30"/>
      <c r="AQ18" s="30"/>
      <c r="AR18" s="30"/>
      <c r="AS18" s="30"/>
      <c r="AT18" s="30"/>
      <c r="AU18" s="30"/>
      <c r="AV18" s="30"/>
      <c r="AW18" s="30"/>
      <c r="AX18" s="30" t="s">
        <v>1092</v>
      </c>
      <c r="AY18" s="102" t="s">
        <v>1093</v>
      </c>
      <c r="AZ18" s="102" t="s">
        <v>1094</v>
      </c>
      <c r="BA18" s="102" t="s">
        <v>1095</v>
      </c>
    </row>
    <row r="19" spans="1:53" s="22" customFormat="1" ht="95.25" customHeight="1">
      <c r="A19" s="29" t="s">
        <v>1096</v>
      </c>
      <c r="B19" s="30" t="s">
        <v>1097</v>
      </c>
      <c r="C19" s="30" t="s">
        <v>1098</v>
      </c>
      <c r="D19" s="30" t="s">
        <v>208</v>
      </c>
      <c r="E19" s="30" t="s">
        <v>208</v>
      </c>
      <c r="F19" s="30"/>
      <c r="G19" s="30" t="s">
        <v>208</v>
      </c>
      <c r="H19" s="30"/>
      <c r="I19" s="30"/>
      <c r="J19" s="30" t="s">
        <v>1099</v>
      </c>
      <c r="K19" s="30" t="s">
        <v>1100</v>
      </c>
      <c r="L19" s="30" t="s">
        <v>1101</v>
      </c>
      <c r="M19" s="30" t="s">
        <v>1085</v>
      </c>
      <c r="N19" s="30" t="s">
        <v>749</v>
      </c>
      <c r="O19" s="30">
        <v>2</v>
      </c>
      <c r="P19" s="30" t="s">
        <v>1102</v>
      </c>
      <c r="Q19" s="30">
        <v>2</v>
      </c>
      <c r="R19" s="30" t="s">
        <v>1103</v>
      </c>
      <c r="S19" s="30">
        <v>1</v>
      </c>
      <c r="T19" s="30" t="s">
        <v>1104</v>
      </c>
      <c r="U19" s="30">
        <v>3</v>
      </c>
      <c r="V19" s="30" t="s">
        <v>1068</v>
      </c>
      <c r="W19" s="30">
        <v>1</v>
      </c>
      <c r="X19" s="30" t="s">
        <v>1105</v>
      </c>
      <c r="Y19" s="30">
        <f t="shared" si="6"/>
        <v>4</v>
      </c>
      <c r="Z19" s="30">
        <f t="shared" si="7"/>
        <v>5</v>
      </c>
      <c r="AA19" s="30">
        <f t="shared" si="8"/>
        <v>20</v>
      </c>
      <c r="AB19" s="30" t="s">
        <v>218</v>
      </c>
      <c r="AC19" s="30"/>
      <c r="AD19" s="30"/>
      <c r="AE19" s="30" t="s">
        <v>807</v>
      </c>
      <c r="AF19" s="30" t="s">
        <v>1106</v>
      </c>
      <c r="AG19" s="30"/>
      <c r="AH19" s="30" t="s">
        <v>1107</v>
      </c>
      <c r="AI19" s="30">
        <v>1</v>
      </c>
      <c r="AJ19" s="30" t="s">
        <v>1108</v>
      </c>
      <c r="AK19" s="30">
        <v>1</v>
      </c>
      <c r="AL19" s="30" t="s">
        <v>1108</v>
      </c>
      <c r="AM19" s="30">
        <v>1</v>
      </c>
      <c r="AN19" s="30" t="s">
        <v>1108</v>
      </c>
      <c r="AO19" s="30">
        <v>1</v>
      </c>
      <c r="AP19" s="30" t="s">
        <v>1108</v>
      </c>
      <c r="AQ19" s="30">
        <v>1</v>
      </c>
      <c r="AR19" s="30" t="s">
        <v>1108</v>
      </c>
      <c r="AS19" s="30">
        <f>AK19+AM19+AQ19</f>
        <v>3</v>
      </c>
      <c r="AT19" s="30">
        <f>AI19+AO19</f>
        <v>2</v>
      </c>
      <c r="AU19" s="30">
        <f>AS19*AT19</f>
        <v>6</v>
      </c>
      <c r="AV19" s="30" t="s">
        <v>226</v>
      </c>
      <c r="AW19" s="30"/>
      <c r="AX19" s="30" t="s">
        <v>1109</v>
      </c>
      <c r="AY19" s="102" t="s">
        <v>1110</v>
      </c>
      <c r="AZ19" s="102" t="s">
        <v>1111</v>
      </c>
      <c r="BA19" s="102" t="s">
        <v>1112</v>
      </c>
    </row>
    <row r="20" spans="1:53" s="22" customFormat="1" ht="95.25" customHeight="1">
      <c r="A20" s="29" t="s">
        <v>1113</v>
      </c>
      <c r="B20" s="30" t="s">
        <v>881</v>
      </c>
      <c r="C20" s="30" t="s">
        <v>882</v>
      </c>
      <c r="D20" s="30"/>
      <c r="E20" s="30" t="s">
        <v>208</v>
      </c>
      <c r="F20" s="30" t="s">
        <v>208</v>
      </c>
      <c r="G20" s="30" t="s">
        <v>208</v>
      </c>
      <c r="H20" s="30"/>
      <c r="I20" s="30"/>
      <c r="J20" s="30" t="s">
        <v>1114</v>
      </c>
      <c r="K20" s="30" t="s">
        <v>1411</v>
      </c>
      <c r="L20" s="30" t="s">
        <v>1115</v>
      </c>
      <c r="M20" s="30" t="s">
        <v>1085</v>
      </c>
      <c r="N20" s="30" t="s">
        <v>749</v>
      </c>
      <c r="O20" s="30">
        <v>3</v>
      </c>
      <c r="P20" s="30" t="s">
        <v>1116</v>
      </c>
      <c r="Q20" s="30">
        <v>2</v>
      </c>
      <c r="R20" s="30" t="s">
        <v>1103</v>
      </c>
      <c r="S20" s="30">
        <v>1</v>
      </c>
      <c r="T20" s="30" t="s">
        <v>1117</v>
      </c>
      <c r="U20" s="30">
        <v>2</v>
      </c>
      <c r="V20" s="30" t="s">
        <v>1118</v>
      </c>
      <c r="W20" s="30">
        <v>1</v>
      </c>
      <c r="X20" s="30" t="s">
        <v>1119</v>
      </c>
      <c r="Y20" s="30">
        <f t="shared" si="6"/>
        <v>4</v>
      </c>
      <c r="Z20" s="30">
        <f t="shared" si="7"/>
        <v>5</v>
      </c>
      <c r="AA20" s="30">
        <f t="shared" si="8"/>
        <v>20</v>
      </c>
      <c r="AB20" s="30" t="s">
        <v>218</v>
      </c>
      <c r="AC20" s="30"/>
      <c r="AD20" s="30"/>
      <c r="AE20" s="30" t="s">
        <v>870</v>
      </c>
      <c r="AF20" s="30" t="s">
        <v>1120</v>
      </c>
      <c r="AG20" s="30"/>
      <c r="AH20" s="30" t="s">
        <v>1121</v>
      </c>
      <c r="AI20" s="30">
        <v>2</v>
      </c>
      <c r="AJ20" s="30" t="s">
        <v>1122</v>
      </c>
      <c r="AK20" s="30">
        <v>1</v>
      </c>
      <c r="AL20" s="30" t="s">
        <v>1123</v>
      </c>
      <c r="AM20" s="30">
        <v>1</v>
      </c>
      <c r="AN20" s="30" t="s">
        <v>1124</v>
      </c>
      <c r="AO20" s="30">
        <v>2</v>
      </c>
      <c r="AP20" s="30" t="s">
        <v>1125</v>
      </c>
      <c r="AQ20" s="30">
        <v>1</v>
      </c>
      <c r="AR20" s="30" t="s">
        <v>1126</v>
      </c>
      <c r="AS20" s="30">
        <f>AK20+AM20+AQ20</f>
        <v>3</v>
      </c>
      <c r="AT20" s="30">
        <f>AI20+AO20</f>
        <v>4</v>
      </c>
      <c r="AU20" s="30">
        <f>AS20*AT20</f>
        <v>12</v>
      </c>
      <c r="AV20" s="30" t="s">
        <v>226</v>
      </c>
      <c r="AW20" s="30"/>
      <c r="AX20" s="30" t="s">
        <v>1127</v>
      </c>
      <c r="AY20" s="102" t="s">
        <v>1128</v>
      </c>
      <c r="AZ20" s="102" t="s">
        <v>990</v>
      </c>
      <c r="BA20" s="102" t="s">
        <v>1129</v>
      </c>
    </row>
    <row r="21" spans="1:53" s="22" customFormat="1" ht="95.25" customHeight="1">
      <c r="A21" s="29" t="s">
        <v>1012</v>
      </c>
      <c r="B21" s="30" t="s">
        <v>1130</v>
      </c>
      <c r="C21" s="30" t="s">
        <v>1131</v>
      </c>
      <c r="D21" s="30" t="s">
        <v>208</v>
      </c>
      <c r="E21" s="30" t="s">
        <v>208</v>
      </c>
      <c r="F21" s="30"/>
      <c r="G21" s="30" t="s">
        <v>208</v>
      </c>
      <c r="H21" s="30"/>
      <c r="I21" s="30"/>
      <c r="J21" s="30" t="s">
        <v>1099</v>
      </c>
      <c r="K21" s="30" t="s">
        <v>1132</v>
      </c>
      <c r="L21" s="30" t="s">
        <v>1133</v>
      </c>
      <c r="M21" s="30" t="s">
        <v>1134</v>
      </c>
      <c r="N21" s="30" t="s">
        <v>845</v>
      </c>
      <c r="O21" s="30">
        <v>2</v>
      </c>
      <c r="P21" s="30" t="s">
        <v>1135</v>
      </c>
      <c r="Q21" s="30">
        <v>3</v>
      </c>
      <c r="R21" s="30" t="s">
        <v>1136</v>
      </c>
      <c r="S21" s="30">
        <v>1</v>
      </c>
      <c r="T21" s="30" t="s">
        <v>1137</v>
      </c>
      <c r="U21" s="30">
        <v>2</v>
      </c>
      <c r="V21" s="30" t="s">
        <v>1118</v>
      </c>
      <c r="W21" s="30">
        <v>2</v>
      </c>
      <c r="X21" s="30" t="s">
        <v>1138</v>
      </c>
      <c r="Y21" s="30">
        <f t="shared" si="6"/>
        <v>6</v>
      </c>
      <c r="Z21" s="30">
        <f t="shared" si="7"/>
        <v>4</v>
      </c>
      <c r="AA21" s="30">
        <f t="shared" si="8"/>
        <v>24</v>
      </c>
      <c r="AB21" s="30" t="s">
        <v>218</v>
      </c>
      <c r="AC21" s="30"/>
      <c r="AD21" s="30"/>
      <c r="AE21" s="30" t="s">
        <v>807</v>
      </c>
      <c r="AF21" s="30" t="s">
        <v>1106</v>
      </c>
      <c r="AG21" s="30"/>
      <c r="AH21" s="30" t="s">
        <v>1139</v>
      </c>
      <c r="AI21" s="30">
        <v>1</v>
      </c>
      <c r="AJ21" s="30" t="s">
        <v>1140</v>
      </c>
      <c r="AK21" s="30">
        <v>1</v>
      </c>
      <c r="AL21" s="30" t="s">
        <v>1140</v>
      </c>
      <c r="AM21" s="30">
        <v>1</v>
      </c>
      <c r="AN21" s="30" t="s">
        <v>1140</v>
      </c>
      <c r="AO21" s="30">
        <v>2</v>
      </c>
      <c r="AP21" s="30" t="s">
        <v>1141</v>
      </c>
      <c r="AQ21" s="30">
        <v>1</v>
      </c>
      <c r="AR21" s="30" t="s">
        <v>1140</v>
      </c>
      <c r="AS21" s="30">
        <f>AK21+AM21+AQ21</f>
        <v>3</v>
      </c>
      <c r="AT21" s="30">
        <f>AI21+AO21</f>
        <v>3</v>
      </c>
      <c r="AU21" s="30">
        <f>AS21*AT21</f>
        <v>9</v>
      </c>
      <c r="AV21" s="30" t="s">
        <v>226</v>
      </c>
      <c r="AW21" s="30"/>
      <c r="AX21" s="30" t="s">
        <v>1142</v>
      </c>
      <c r="AY21" s="102" t="s">
        <v>1143</v>
      </c>
      <c r="AZ21" s="102" t="s">
        <v>1144</v>
      </c>
      <c r="BA21" s="102" t="s">
        <v>1145</v>
      </c>
    </row>
    <row r="22" spans="1:53" s="22" customFormat="1" ht="95.25" customHeight="1">
      <c r="A22" s="29" t="s">
        <v>1012</v>
      </c>
      <c r="B22" s="30" t="s">
        <v>1130</v>
      </c>
      <c r="C22" s="30" t="s">
        <v>1131</v>
      </c>
      <c r="D22" s="30" t="s">
        <v>208</v>
      </c>
      <c r="E22" s="30" t="s">
        <v>208</v>
      </c>
      <c r="F22" s="30"/>
      <c r="G22" s="30" t="s">
        <v>208</v>
      </c>
      <c r="H22" s="30"/>
      <c r="I22" s="30"/>
      <c r="J22" s="30" t="s">
        <v>1099</v>
      </c>
      <c r="K22" s="30" t="s">
        <v>1146</v>
      </c>
      <c r="L22" s="30" t="s">
        <v>1147</v>
      </c>
      <c r="M22" s="30" t="s">
        <v>1148</v>
      </c>
      <c r="N22" s="30" t="s">
        <v>845</v>
      </c>
      <c r="O22" s="30">
        <v>3</v>
      </c>
      <c r="P22" s="30" t="s">
        <v>1149</v>
      </c>
      <c r="Q22" s="30">
        <v>2</v>
      </c>
      <c r="R22" s="30" t="s">
        <v>1103</v>
      </c>
      <c r="S22" s="30">
        <v>1</v>
      </c>
      <c r="T22" s="30" t="s">
        <v>1150</v>
      </c>
      <c r="U22" s="30">
        <v>2</v>
      </c>
      <c r="V22" s="30" t="s">
        <v>1118</v>
      </c>
      <c r="W22" s="30">
        <v>2</v>
      </c>
      <c r="X22" s="30" t="s">
        <v>1151</v>
      </c>
      <c r="Y22" s="30">
        <f t="shared" si="6"/>
        <v>5</v>
      </c>
      <c r="Z22" s="30">
        <f t="shared" si="7"/>
        <v>5</v>
      </c>
      <c r="AA22" s="30">
        <f t="shared" si="8"/>
        <v>25</v>
      </c>
      <c r="AB22" s="30" t="s">
        <v>218</v>
      </c>
      <c r="AC22" s="30"/>
      <c r="AD22" s="30"/>
      <c r="AE22" s="30" t="s">
        <v>870</v>
      </c>
      <c r="AF22" s="30" t="s">
        <v>1106</v>
      </c>
      <c r="AG22" s="30"/>
      <c r="AH22" s="30" t="s">
        <v>1152</v>
      </c>
      <c r="AI22" s="30">
        <v>1</v>
      </c>
      <c r="AJ22" s="30" t="s">
        <v>1153</v>
      </c>
      <c r="AK22" s="30">
        <v>1</v>
      </c>
      <c r="AL22" s="30" t="s">
        <v>1153</v>
      </c>
      <c r="AM22" s="30">
        <v>1</v>
      </c>
      <c r="AN22" s="30" t="s">
        <v>1153</v>
      </c>
      <c r="AO22" s="30">
        <v>1</v>
      </c>
      <c r="AP22" s="30" t="s">
        <v>1153</v>
      </c>
      <c r="AQ22" s="30">
        <v>1</v>
      </c>
      <c r="AR22" s="30" t="s">
        <v>1153</v>
      </c>
      <c r="AS22" s="30">
        <f>AK22+AM22+AQ22</f>
        <v>3</v>
      </c>
      <c r="AT22" s="30">
        <f>AI22+AO22</f>
        <v>2</v>
      </c>
      <c r="AU22" s="30">
        <f>AS22*AT22</f>
        <v>6</v>
      </c>
      <c r="AV22" s="30" t="s">
        <v>226</v>
      </c>
      <c r="AW22" s="30"/>
      <c r="AX22" s="30" t="s">
        <v>1154</v>
      </c>
      <c r="AY22" s="102" t="s">
        <v>1155</v>
      </c>
      <c r="AZ22" s="102" t="s">
        <v>1156</v>
      </c>
      <c r="BA22" s="102" t="s">
        <v>1157</v>
      </c>
    </row>
    <row r="23" spans="1:53" s="22" customFormat="1" ht="95.25" customHeight="1">
      <c r="A23" s="29" t="s">
        <v>1158</v>
      </c>
      <c r="B23" s="30" t="s">
        <v>1159</v>
      </c>
      <c r="C23" s="30" t="s">
        <v>1160</v>
      </c>
      <c r="D23" s="30" t="s">
        <v>208</v>
      </c>
      <c r="E23" s="30" t="s">
        <v>208</v>
      </c>
      <c r="F23" s="30"/>
      <c r="G23" s="30" t="s">
        <v>208</v>
      </c>
      <c r="H23" s="30" t="s">
        <v>208</v>
      </c>
      <c r="I23" s="30"/>
      <c r="J23" s="30" t="s">
        <v>1046</v>
      </c>
      <c r="K23" s="30" t="s">
        <v>1161</v>
      </c>
      <c r="L23" s="30" t="s">
        <v>1162</v>
      </c>
      <c r="M23" s="30" t="s">
        <v>1163</v>
      </c>
      <c r="N23" s="30" t="s">
        <v>749</v>
      </c>
      <c r="O23" s="30">
        <v>3</v>
      </c>
      <c r="P23" s="30" t="s">
        <v>1164</v>
      </c>
      <c r="Q23" s="30">
        <v>2</v>
      </c>
      <c r="R23" s="30" t="s">
        <v>1103</v>
      </c>
      <c r="S23" s="30">
        <v>1</v>
      </c>
      <c r="T23" s="30" t="s">
        <v>1165</v>
      </c>
      <c r="U23" s="30">
        <v>2</v>
      </c>
      <c r="V23" s="30" t="s">
        <v>1118</v>
      </c>
      <c r="W23" s="30">
        <v>2</v>
      </c>
      <c r="X23" s="30" t="s">
        <v>1151</v>
      </c>
      <c r="Y23" s="30">
        <f t="shared" si="6"/>
        <v>5</v>
      </c>
      <c r="Z23" s="30">
        <f t="shared" si="7"/>
        <v>5</v>
      </c>
      <c r="AA23" s="30">
        <f t="shared" si="8"/>
        <v>25</v>
      </c>
      <c r="AB23" s="30" t="s">
        <v>218</v>
      </c>
      <c r="AC23" s="30"/>
      <c r="AD23" s="30"/>
      <c r="AE23" s="30" t="s">
        <v>870</v>
      </c>
      <c r="AF23" s="30" t="s">
        <v>1053</v>
      </c>
      <c r="AG23" s="30"/>
      <c r="AH23" s="30" t="s">
        <v>1166</v>
      </c>
      <c r="AI23" s="30">
        <v>3</v>
      </c>
      <c r="AJ23" s="30" t="s">
        <v>1167</v>
      </c>
      <c r="AK23" s="30">
        <v>1</v>
      </c>
      <c r="AL23" s="30" t="s">
        <v>1168</v>
      </c>
      <c r="AM23" s="30">
        <v>1</v>
      </c>
      <c r="AN23" s="30" t="s">
        <v>1165</v>
      </c>
      <c r="AO23" s="30">
        <v>2</v>
      </c>
      <c r="AP23" s="30" t="s">
        <v>1118</v>
      </c>
      <c r="AQ23" s="30">
        <v>1</v>
      </c>
      <c r="AR23" s="30" t="s">
        <v>1169</v>
      </c>
      <c r="AS23" s="30">
        <f>AK23+AM23+AQ23</f>
        <v>3</v>
      </c>
      <c r="AT23" s="30">
        <f>AI23+AO23</f>
        <v>5</v>
      </c>
      <c r="AU23" s="30">
        <f>AS23*AT23</f>
        <v>15</v>
      </c>
      <c r="AV23" s="30" t="s">
        <v>226</v>
      </c>
      <c r="AW23" s="30"/>
      <c r="AX23" s="30" t="s">
        <v>1170</v>
      </c>
      <c r="AY23" s="102" t="s">
        <v>1171</v>
      </c>
      <c r="AZ23" s="102" t="s">
        <v>1172</v>
      </c>
      <c r="BA23" s="102" t="s">
        <v>1173</v>
      </c>
    </row>
    <row r="24" spans="1:53" s="22" customFormat="1" ht="95.25" customHeight="1">
      <c r="A24" s="29" t="s">
        <v>128</v>
      </c>
      <c r="B24" s="30" t="s">
        <v>1174</v>
      </c>
      <c r="C24" s="30" t="s">
        <v>1175</v>
      </c>
      <c r="D24" s="30"/>
      <c r="E24" s="30" t="s">
        <v>208</v>
      </c>
      <c r="F24" s="30" t="s">
        <v>208</v>
      </c>
      <c r="G24" s="30"/>
      <c r="H24" s="30" t="s">
        <v>208</v>
      </c>
      <c r="I24" s="30" t="s">
        <v>208</v>
      </c>
      <c r="J24" s="30" t="s">
        <v>1176</v>
      </c>
      <c r="K24" s="30" t="s">
        <v>1177</v>
      </c>
      <c r="L24" s="30" t="s">
        <v>1178</v>
      </c>
      <c r="M24" s="30" t="s">
        <v>1179</v>
      </c>
      <c r="N24" s="30" t="s">
        <v>749</v>
      </c>
      <c r="O24" s="30">
        <v>3</v>
      </c>
      <c r="P24" s="30" t="s">
        <v>793</v>
      </c>
      <c r="Q24" s="30">
        <v>3</v>
      </c>
      <c r="R24" s="30" t="s">
        <v>1180</v>
      </c>
      <c r="S24" s="30">
        <v>2</v>
      </c>
      <c r="T24" s="30" t="s">
        <v>1181</v>
      </c>
      <c r="U24" s="30">
        <v>2</v>
      </c>
      <c r="V24" s="30" t="s">
        <v>1182</v>
      </c>
      <c r="W24" s="30">
        <v>3</v>
      </c>
      <c r="X24" s="30" t="s">
        <v>1183</v>
      </c>
      <c r="Y24" s="30">
        <v>8</v>
      </c>
      <c r="Z24" s="30">
        <v>5</v>
      </c>
      <c r="AA24" s="30">
        <v>40</v>
      </c>
      <c r="AB24" s="30" t="s">
        <v>287</v>
      </c>
      <c r="AC24" s="30" t="s">
        <v>219</v>
      </c>
      <c r="AD24" s="30" t="s">
        <v>319</v>
      </c>
      <c r="AE24" s="30" t="s">
        <v>807</v>
      </c>
      <c r="AF24" s="30" t="s">
        <v>1184</v>
      </c>
      <c r="AG24" s="30" t="s">
        <v>319</v>
      </c>
      <c r="AH24" s="30" t="s">
        <v>158</v>
      </c>
      <c r="AI24" s="30">
        <v>1</v>
      </c>
      <c r="AJ24" s="30" t="s">
        <v>1185</v>
      </c>
      <c r="AK24" s="30">
        <v>1</v>
      </c>
      <c r="AL24" s="30" t="s">
        <v>1186</v>
      </c>
      <c r="AM24" s="30">
        <v>1</v>
      </c>
      <c r="AN24" s="30" t="s">
        <v>1187</v>
      </c>
      <c r="AO24" s="30">
        <v>1</v>
      </c>
      <c r="AP24" s="30" t="s">
        <v>1188</v>
      </c>
      <c r="AQ24" s="30">
        <v>1</v>
      </c>
      <c r="AR24" s="30" t="s">
        <v>1189</v>
      </c>
      <c r="AS24" s="30">
        <v>3</v>
      </c>
      <c r="AT24" s="30">
        <v>2</v>
      </c>
      <c r="AU24" s="30">
        <v>6</v>
      </c>
      <c r="AV24" s="30" t="s">
        <v>226</v>
      </c>
      <c r="AW24" s="30"/>
      <c r="AX24" s="30"/>
      <c r="AZ24" s="22" t="s">
        <v>1190</v>
      </c>
      <c r="BA24" s="22" t="s">
        <v>1191</v>
      </c>
    </row>
  </sheetData>
  <mergeCells count="22">
    <mergeCell ref="A1:C1"/>
    <mergeCell ref="D1:I1"/>
    <mergeCell ref="AB1:AB2"/>
    <mergeCell ref="AZ1:AZ2"/>
    <mergeCell ref="N1:N2"/>
    <mergeCell ref="O1:AA1"/>
    <mergeCell ref="L1:L2"/>
    <mergeCell ref="AF1:AF2"/>
    <mergeCell ref="K1:K2"/>
    <mergeCell ref="AY1:AY2"/>
    <mergeCell ref="AE1:AE2"/>
    <mergeCell ref="AV1:AV2"/>
    <mergeCell ref="J1:J2"/>
    <mergeCell ref="AC1:AC2"/>
    <mergeCell ref="AH1:AH2"/>
    <mergeCell ref="AI1:AU1"/>
    <mergeCell ref="AX1:AX2"/>
    <mergeCell ref="BA1:BA2"/>
    <mergeCell ref="AD1:AD2"/>
    <mergeCell ref="M1:M2"/>
    <mergeCell ref="AW1:AW2"/>
    <mergeCell ref="AG1:AG2"/>
  </mergeCells>
  <phoneticPr fontId="1" type="noConversion"/>
  <conditionalFormatting sqref="AE1:AE2">
    <cfRule type="containsText" dxfId="0" priority="1" operator="containsText" text="降低风险">
      <formula>NOT(ISERROR(SEARCH("降低风险",AE1)))</formula>
    </cfRule>
  </conditionalFormatting>
  <dataValidations count="1">
    <dataValidation allowBlank="1" showInputMessage="1" showErrorMessage="1" errorTitle="测试类别错误" error="无效的测试类别" promptTitle="测试类别" sqref="C6 C9 C2" xr:uid="{00000000-0002-0000-0400-000000000000}"/>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F2C5D-B95C-44DC-AD0F-4F2C10412350}">
  <sheetPr>
    <outlinePr summaryBelow="0" summaryRight="0"/>
  </sheetPr>
  <dimension ref="B1:K52"/>
  <sheetViews>
    <sheetView tabSelected="1" workbookViewId="0">
      <selection activeCell="B19" sqref="B19:C19"/>
    </sheetView>
  </sheetViews>
  <sheetFormatPr defaultColWidth="9" defaultRowHeight="13.9" customHeight="1"/>
  <cols>
    <col min="2" max="2" width="17.3515625" style="3" customWidth="1"/>
    <col min="3" max="3" width="38.3515625" style="3" customWidth="1"/>
    <col min="4" max="4" width="42.8203125" style="3" customWidth="1"/>
    <col min="5" max="6" width="35.8203125" style="3" customWidth="1"/>
    <col min="8" max="8" width="27.5859375" style="3" customWidth="1"/>
    <col min="9" max="9" width="35.5859375" style="3" customWidth="1"/>
    <col min="11" max="11" width="65.8203125" style="3" customWidth="1"/>
  </cols>
  <sheetData>
    <row r="1" spans="2:11" ht="38.549999999999997" customHeight="1"/>
    <row r="2" spans="2:11" ht="31.5" customHeight="1">
      <c r="B2" s="78" t="s">
        <v>1192</v>
      </c>
      <c r="C2" s="1" t="s">
        <v>1193</v>
      </c>
      <c r="D2" s="2" t="s">
        <v>1194</v>
      </c>
      <c r="E2" s="2" t="s">
        <v>1195</v>
      </c>
      <c r="F2" s="2" t="s">
        <v>1196</v>
      </c>
      <c r="G2" s="3"/>
      <c r="H2" s="4" t="s">
        <v>1197</v>
      </c>
      <c r="I2" s="5" t="s">
        <v>1198</v>
      </c>
      <c r="J2" s="5" t="s">
        <v>1199</v>
      </c>
      <c r="K2" s="5" t="s">
        <v>1200</v>
      </c>
    </row>
    <row r="3" spans="2:11" ht="159.4" customHeight="1">
      <c r="B3" s="6" t="s">
        <v>1201</v>
      </c>
      <c r="C3" s="7" t="s">
        <v>1202</v>
      </c>
      <c r="D3" s="7" t="s">
        <v>1203</v>
      </c>
      <c r="E3" s="7" t="s">
        <v>1204</v>
      </c>
      <c r="F3" s="7" t="s">
        <v>1205</v>
      </c>
      <c r="G3" s="3"/>
      <c r="H3" s="8" t="s">
        <v>1206</v>
      </c>
      <c r="I3" s="9" t="s">
        <v>1207</v>
      </c>
      <c r="J3" s="9" t="s">
        <v>1208</v>
      </c>
      <c r="K3" s="10" t="s">
        <v>1209</v>
      </c>
    </row>
    <row r="4" spans="2:11" ht="127.15" customHeight="1">
      <c r="B4" s="6" t="s">
        <v>1210</v>
      </c>
      <c r="C4" s="7" t="s">
        <v>1211</v>
      </c>
      <c r="D4" s="7" t="s">
        <v>1212</v>
      </c>
      <c r="E4" s="7" t="s">
        <v>1213</v>
      </c>
      <c r="F4" s="7" t="s">
        <v>1214</v>
      </c>
      <c r="G4" s="3"/>
      <c r="H4" s="8" t="s">
        <v>1215</v>
      </c>
      <c r="I4" s="9" t="s">
        <v>1216</v>
      </c>
      <c r="J4" s="9" t="s">
        <v>1217</v>
      </c>
      <c r="K4" s="10" t="s">
        <v>1218</v>
      </c>
    </row>
    <row r="5" spans="2:11" ht="78.7" customHeight="1">
      <c r="B5" s="6" t="s">
        <v>1219</v>
      </c>
      <c r="C5" s="7" t="s">
        <v>1220</v>
      </c>
      <c r="D5" s="7" t="s">
        <v>1221</v>
      </c>
      <c r="E5" s="7" t="s">
        <v>1222</v>
      </c>
      <c r="F5" s="7" t="s">
        <v>1223</v>
      </c>
      <c r="G5" s="3"/>
      <c r="H5" s="8" t="s">
        <v>1224</v>
      </c>
      <c r="I5" s="9" t="s">
        <v>1225</v>
      </c>
      <c r="J5" s="9" t="s">
        <v>1226</v>
      </c>
      <c r="K5" s="10" t="s">
        <v>1227</v>
      </c>
    </row>
    <row r="6" spans="2:11" ht="56.55" customHeight="1">
      <c r="B6" s="6" t="s">
        <v>1228</v>
      </c>
      <c r="C6" s="7" t="s">
        <v>1229</v>
      </c>
      <c r="D6" s="7" t="s">
        <v>1230</v>
      </c>
      <c r="E6" s="7" t="s">
        <v>1231</v>
      </c>
      <c r="F6" s="7" t="s">
        <v>1232</v>
      </c>
      <c r="G6" s="3"/>
      <c r="H6" s="8" t="s">
        <v>1233</v>
      </c>
      <c r="I6" s="9" t="s">
        <v>1234</v>
      </c>
      <c r="J6" s="9" t="s">
        <v>1235</v>
      </c>
      <c r="K6" s="10" t="s">
        <v>1236</v>
      </c>
    </row>
    <row r="7" spans="2:11" ht="143.65" customHeight="1">
      <c r="B7" s="6" t="s">
        <v>1237</v>
      </c>
      <c r="C7" s="7" t="s">
        <v>1238</v>
      </c>
      <c r="D7" s="7" t="s">
        <v>1239</v>
      </c>
      <c r="E7" s="7" t="s">
        <v>1240</v>
      </c>
      <c r="F7" s="7" t="s">
        <v>1241</v>
      </c>
      <c r="G7" s="3"/>
      <c r="H7" s="8" t="s">
        <v>1242</v>
      </c>
      <c r="I7" s="9" t="s">
        <v>1243</v>
      </c>
      <c r="J7" s="9" t="s">
        <v>1244</v>
      </c>
      <c r="K7" s="10" t="s">
        <v>1245</v>
      </c>
    </row>
    <row r="8" spans="2:11" ht="36.700000000000003" customHeight="1">
      <c r="G8" s="3"/>
      <c r="H8" s="8" t="s">
        <v>1246</v>
      </c>
      <c r="I8" s="9" t="s">
        <v>1247</v>
      </c>
      <c r="J8" s="9" t="s">
        <v>1248</v>
      </c>
      <c r="K8" s="10" t="s">
        <v>1249</v>
      </c>
    </row>
    <row r="9" spans="2:11" ht="15.7" customHeight="1">
      <c r="B9" s="194" t="s">
        <v>1250</v>
      </c>
      <c r="C9" s="195"/>
      <c r="G9" s="3"/>
      <c r="J9" s="3"/>
    </row>
    <row r="10" spans="2:11" ht="72" customHeight="1">
      <c r="B10" s="203" t="s">
        <v>1251</v>
      </c>
      <c r="C10" s="204"/>
      <c r="G10" s="3"/>
      <c r="J10" s="3"/>
    </row>
    <row r="11" spans="2:11" ht="15.4" customHeight="1">
      <c r="B11" s="11"/>
      <c r="C11" s="12"/>
      <c r="G11" s="3"/>
      <c r="J11" s="3"/>
    </row>
    <row r="12" spans="2:11" ht="15.7" customHeight="1">
      <c r="B12" s="207" t="s">
        <v>1252</v>
      </c>
      <c r="C12" s="208"/>
      <c r="G12" s="3"/>
      <c r="J12" s="3"/>
    </row>
    <row r="13" spans="2:11" ht="31.5" customHeight="1">
      <c r="B13" s="13" t="s">
        <v>1253</v>
      </c>
      <c r="C13" s="13" t="s">
        <v>1254</v>
      </c>
      <c r="G13" s="3"/>
      <c r="J13" s="3"/>
    </row>
    <row r="14" spans="2:11" ht="33" customHeight="1">
      <c r="B14" s="14" t="s">
        <v>1255</v>
      </c>
      <c r="C14" s="15" t="s">
        <v>1256</v>
      </c>
      <c r="G14" s="3"/>
      <c r="J14" s="3"/>
    </row>
    <row r="15" spans="2:11" ht="31.5" customHeight="1">
      <c r="B15" s="14" t="s">
        <v>1257</v>
      </c>
      <c r="C15" s="15" t="s">
        <v>1258</v>
      </c>
      <c r="G15" s="3"/>
      <c r="J15" s="3"/>
    </row>
    <row r="16" spans="2:11" ht="33" customHeight="1">
      <c r="B16" s="14" t="s">
        <v>1259</v>
      </c>
      <c r="C16" s="15" t="s">
        <v>1260</v>
      </c>
      <c r="G16" s="3"/>
      <c r="J16" s="3"/>
    </row>
    <row r="17" spans="2:10" ht="13.9" customHeight="1">
      <c r="G17" s="3"/>
      <c r="J17" s="3"/>
    </row>
    <row r="18" spans="2:10" ht="13.9" customHeight="1">
      <c r="B18" s="16"/>
      <c r="C18" s="16"/>
      <c r="G18" s="3"/>
      <c r="J18" s="3"/>
    </row>
    <row r="19" spans="2:10" ht="15.75" customHeight="1">
      <c r="B19" s="205" t="s">
        <v>1544</v>
      </c>
      <c r="C19" s="206"/>
      <c r="G19" s="3"/>
      <c r="J19" s="3"/>
    </row>
    <row r="20" spans="2:10" ht="31.5" customHeight="1">
      <c r="B20" s="17" t="s">
        <v>1261</v>
      </c>
      <c r="C20" s="17" t="s">
        <v>1262</v>
      </c>
      <c r="G20" s="3"/>
      <c r="J20" s="3"/>
    </row>
    <row r="21" spans="2:10" ht="31.5" customHeight="1">
      <c r="B21" s="18" t="s">
        <v>1263</v>
      </c>
      <c r="C21" s="18" t="s">
        <v>1541</v>
      </c>
      <c r="G21" s="3"/>
      <c r="J21" s="3"/>
    </row>
    <row r="22" spans="2:10" ht="31.5" customHeight="1">
      <c r="B22" s="18" t="s">
        <v>1264</v>
      </c>
      <c r="C22" s="18" t="s">
        <v>1543</v>
      </c>
      <c r="G22" s="3"/>
      <c r="J22" s="3"/>
    </row>
    <row r="23" spans="2:10" ht="42.7" customHeight="1">
      <c r="B23" s="18" t="s">
        <v>1265</v>
      </c>
      <c r="C23" s="18" t="s">
        <v>1542</v>
      </c>
      <c r="G23" s="3"/>
      <c r="J23" s="3"/>
    </row>
    <row r="24" spans="2:10" ht="15.7" customHeight="1">
      <c r="G24" s="3"/>
      <c r="J24" s="3"/>
    </row>
    <row r="25" spans="2:10" ht="13.9" customHeight="1">
      <c r="G25" s="3"/>
      <c r="J25" s="3"/>
    </row>
    <row r="26" spans="2:10" ht="13.9" customHeight="1">
      <c r="G26" s="3"/>
      <c r="J26" s="3"/>
    </row>
    <row r="27" spans="2:10" ht="16.899999999999999" customHeight="1">
      <c r="B27" s="198" t="s">
        <v>1266</v>
      </c>
      <c r="C27" s="199"/>
      <c r="D27" s="200"/>
      <c r="G27" s="3"/>
      <c r="J27" s="3"/>
    </row>
    <row r="28" spans="2:10" ht="16.899999999999999" customHeight="1">
      <c r="B28" s="19" t="s">
        <v>1267</v>
      </c>
      <c r="C28" s="19" t="s">
        <v>1268</v>
      </c>
      <c r="D28" s="19" t="s">
        <v>12</v>
      </c>
      <c r="G28" s="3"/>
      <c r="J28" s="3"/>
    </row>
    <row r="29" spans="2:10" ht="14.25" customHeight="1">
      <c r="B29" s="20" t="s">
        <v>1269</v>
      </c>
      <c r="C29" s="196" t="s">
        <v>1270</v>
      </c>
      <c r="D29" s="196" t="s">
        <v>1271</v>
      </c>
      <c r="G29" s="3"/>
      <c r="J29" s="3"/>
    </row>
    <row r="30" spans="2:10" ht="14.25" customHeight="1">
      <c r="B30" s="21" t="s">
        <v>1272</v>
      </c>
      <c r="C30" s="197"/>
      <c r="D30" s="197"/>
      <c r="G30" s="3"/>
      <c r="J30" s="3"/>
    </row>
    <row r="31" spans="2:10" ht="14.25" customHeight="1">
      <c r="B31" s="20" t="s">
        <v>1273</v>
      </c>
      <c r="C31" s="196" t="s">
        <v>1274</v>
      </c>
      <c r="D31" s="196" t="s">
        <v>1275</v>
      </c>
      <c r="G31" s="3"/>
      <c r="J31" s="3"/>
    </row>
    <row r="32" spans="2:10" ht="14.25" customHeight="1">
      <c r="B32" s="21" t="s">
        <v>1276</v>
      </c>
      <c r="C32" s="197"/>
      <c r="D32" s="197"/>
      <c r="G32" s="3"/>
      <c r="J32" s="3"/>
    </row>
    <row r="33" spans="2:10" ht="14.25" customHeight="1">
      <c r="B33" s="20" t="s">
        <v>1277</v>
      </c>
      <c r="C33" s="20" t="s">
        <v>1278</v>
      </c>
      <c r="D33" s="196" t="s">
        <v>1279</v>
      </c>
      <c r="G33" s="3"/>
      <c r="J33" s="3"/>
    </row>
    <row r="34" spans="2:10" ht="97.15" customHeight="1">
      <c r="B34" s="21" t="s">
        <v>1280</v>
      </c>
      <c r="C34" s="21" t="s">
        <v>1281</v>
      </c>
      <c r="D34" s="197"/>
      <c r="G34" s="3"/>
      <c r="J34" s="3"/>
    </row>
    <row r="35" spans="2:10" ht="14.25" customHeight="1">
      <c r="B35" s="20" t="s">
        <v>1282</v>
      </c>
      <c r="C35" s="196" t="s">
        <v>1283</v>
      </c>
      <c r="D35" s="201" t="s">
        <v>1284</v>
      </c>
      <c r="G35" s="3"/>
      <c r="J35" s="3"/>
    </row>
    <row r="36" spans="2:10" ht="14.25" customHeight="1">
      <c r="B36" s="21" t="s">
        <v>1285</v>
      </c>
      <c r="C36" s="197"/>
      <c r="D36" s="202"/>
      <c r="G36" s="3"/>
      <c r="J36" s="3"/>
    </row>
    <row r="39" spans="2:10" ht="34.15" thickBot="1">
      <c r="B39" s="19" t="s">
        <v>1336</v>
      </c>
      <c r="C39" s="19" t="s">
        <v>1333</v>
      </c>
      <c r="D39" s="19" t="s">
        <v>12</v>
      </c>
    </row>
    <row r="40" spans="2:10" ht="83.65" thickBot="1">
      <c r="B40" s="118" t="s">
        <v>1335</v>
      </c>
      <c r="C40" s="118" t="s">
        <v>1337</v>
      </c>
      <c r="D40" s="118" t="s">
        <v>1338</v>
      </c>
    </row>
    <row r="41" spans="2:10" ht="83.65" thickBot="1">
      <c r="B41" s="118" t="s">
        <v>1339</v>
      </c>
      <c r="C41" s="118" t="s">
        <v>1340</v>
      </c>
      <c r="D41" s="118" t="s">
        <v>1341</v>
      </c>
    </row>
    <row r="42" spans="2:10" ht="69.75" thickBot="1">
      <c r="B42" s="118" t="s">
        <v>1342</v>
      </c>
      <c r="C42" s="118" t="s">
        <v>1343</v>
      </c>
      <c r="D42" s="118" t="s">
        <v>1344</v>
      </c>
    </row>
    <row r="43" spans="2:10" ht="83.65" thickBot="1">
      <c r="B43" s="118" t="s">
        <v>1345</v>
      </c>
      <c r="C43" s="118" t="s">
        <v>1346</v>
      </c>
      <c r="D43" s="118" t="s">
        <v>1347</v>
      </c>
    </row>
    <row r="44" spans="2:10" ht="69.75" thickBot="1">
      <c r="B44" s="118" t="s">
        <v>1348</v>
      </c>
      <c r="C44" s="118" t="s">
        <v>1349</v>
      </c>
      <c r="D44" s="118" t="s">
        <v>1350</v>
      </c>
    </row>
    <row r="45" spans="2:10" ht="83.65" thickBot="1">
      <c r="B45" s="118" t="s">
        <v>1351</v>
      </c>
      <c r="C45" s="118" t="s">
        <v>1352</v>
      </c>
      <c r="D45" s="118" t="s">
        <v>1353</v>
      </c>
    </row>
    <row r="46" spans="2:10" ht="83.25">
      <c r="B46" s="118" t="s">
        <v>1354</v>
      </c>
      <c r="C46" s="118" t="s">
        <v>1355</v>
      </c>
      <c r="D46" s="118" t="s">
        <v>1356</v>
      </c>
    </row>
    <row r="47" spans="2:10" ht="15.75" customHeight="1">
      <c r="B47" s="18"/>
      <c r="C47" s="18"/>
      <c r="D47" s="18"/>
    </row>
    <row r="48" spans="2:10" ht="15.75" customHeight="1">
      <c r="B48" s="18"/>
      <c r="C48" s="18"/>
      <c r="D48" s="18"/>
    </row>
    <row r="49" spans="2:4" ht="15.75" customHeight="1">
      <c r="B49" s="18"/>
      <c r="C49" s="18"/>
      <c r="D49" s="18"/>
    </row>
    <row r="50" spans="2:4" ht="15.75" customHeight="1">
      <c r="B50" s="18"/>
      <c r="C50" s="18"/>
      <c r="D50" s="18"/>
    </row>
    <row r="51" spans="2:4" ht="15.75" customHeight="1">
      <c r="B51" s="18"/>
      <c r="C51" s="18"/>
      <c r="D51" s="18"/>
    </row>
    <row r="52" spans="2:4" ht="15.75" customHeight="1">
      <c r="B52" s="18"/>
      <c r="C52" s="18"/>
      <c r="D52" s="18"/>
    </row>
  </sheetData>
  <mergeCells count="12">
    <mergeCell ref="B9:C9"/>
    <mergeCell ref="C29:C30"/>
    <mergeCell ref="D29:D30"/>
    <mergeCell ref="B27:D27"/>
    <mergeCell ref="D35:D36"/>
    <mergeCell ref="B10:C10"/>
    <mergeCell ref="D33:D34"/>
    <mergeCell ref="C35:C36"/>
    <mergeCell ref="D31:D32"/>
    <mergeCell ref="C31:C32"/>
    <mergeCell ref="B19:C19"/>
    <mergeCell ref="B12:C12"/>
  </mergeCells>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5AFE83D5B445574EB3BFEE7031E81334" ma:contentTypeVersion="11" ma:contentTypeDescription="新建文档。" ma:contentTypeScope="" ma:versionID="8bf86fd7c5a545721435d76e09619f0a">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5a29c95c31002a85bfb42365a9741d4c"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084FD9-4DC1-4447-B3A3-AB2CCA3852A0}">
  <ds:schemaRefs>
    <ds:schemaRef ds:uri="http://schemas.microsoft.com/office/2006/metadata/properties"/>
    <ds:schemaRef ds:uri="http://schemas.microsoft.com/office/infopath/2007/PartnerControls"/>
    <ds:schemaRef ds:uri="c389c65f-bf10-48af-a01d-c81152d6c5ea"/>
    <ds:schemaRef ds:uri="7100a4fe-8674-4903-8a67-94b929423ea5"/>
  </ds:schemaRefs>
</ds:datastoreItem>
</file>

<file path=customXml/itemProps2.xml><?xml version="1.0" encoding="utf-8"?>
<ds:datastoreItem xmlns:ds="http://schemas.openxmlformats.org/officeDocument/2006/customXml" ds:itemID="{A402F521-C8EE-4E5F-9969-30EEA4861444}">
  <ds:schemaRefs>
    <ds:schemaRef ds:uri="http://schemas.microsoft.com/sharepoint/v3/contenttype/forms"/>
  </ds:schemaRefs>
</ds:datastoreItem>
</file>

<file path=customXml/itemProps3.xml><?xml version="1.0" encoding="utf-8"?>
<ds:datastoreItem xmlns:ds="http://schemas.openxmlformats.org/officeDocument/2006/customXml" ds:itemID="{FB62F793-CE43-4B89-BE79-737465C030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Revision History</vt:lpstr>
      <vt:lpstr>TOE Context</vt:lpstr>
      <vt:lpstr>TARA &amp; Rational </vt:lpstr>
      <vt:lpstr>TOE Design</vt:lpstr>
      <vt:lpstr>TARA &amp; Rational-交换机</vt:lpstr>
      <vt:lpstr>TARA methodology </vt:lpstr>
      <vt:lpstr>'TARA &amp; Rational '!_FilterDatabase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DingTalk</dc:creator>
  <cp:keywords/>
  <dc:description/>
  <cp:lastModifiedBy>滕庆武</cp:lastModifiedBy>
  <cp:revision/>
  <dcterms:created xsi:type="dcterms:W3CDTF">2006-09-16T00:00:00Z</dcterms:created>
  <dcterms:modified xsi:type="dcterms:W3CDTF">2026-07-27T06:05:10Z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0x0101005AFE83D5B445574EB3BFEE7031E81334</vt:lpwstr>
  </property>
  <property fmtid="{D5CDD505-2E9C-101B-9397-08002B2CF9AE}" pid="3" name="MediaServiceImageTags">
    <vt:lpwstr/>
  </property>
</Properties>
</file>